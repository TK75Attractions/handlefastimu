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0bd703a35d4a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程表" sheetId="1" r:id="R743f1054b1434feb"/>
    <x:sheet xmlns:r="http://schemas.openxmlformats.org/officeDocument/2006/relationships" name="導通チェック" sheetId="2" r:id="Radcd38d510094afa"/>
  </x:sheets>
</x:workbook>
</file>

<file path=xl/sharedStrings.xml><?xml version="1.0" encoding="utf-8"?>
<x:sst xmlns:x="http://schemas.openxmlformats.org/spreadsheetml/2006/main">
  <x:si>
    <x:t xml:space="preserve">組立・はんだ付け工程表</x:t>
  </x:si>
  <x:si>
    <x:t xml:space="preserve">工程数</x:t>
  </x:si>
  <x:si>
    <x:t xml:space="preserve">予定時間（時間）</x:t>
  </x:si>
  <x:si>
    <x:t xml:space="preserve">完了数</x:t>
  </x:si>
  <x:si>
    <x:t xml:space="preserve">進捗率</x:t>
  </x:si>
  <x:si>
    <x:t xml:space="preserve">残り時間（時間）</x:t>
  </x:si>
  <x:si>
    <x:t xml:space="preserve">はんだ付け基準：有鉛はんだ330〜350℃、鉛フリー360〜380℃を目安。こて先は1〜2mm程度の細い平型または円すい形。ランドと部品脚を同時に1〜3秒加熱し、はんだ→こての順に離す。5秒を超えそうなら一度冷ます。</x:t>
  </x:si>
  <x:si>
    <x:t xml:space="preserve">重要：通電中ははんだ付けしない。モジュールは位置合わせ以外では外す。ねじ端子へ入れるAWG24より線の端は、はんだメッキしない。低い部品→ソケット→端子台→裏面配線の順で作業する。</x:t>
  </x:si>
  <x:si>
    <x:t xml:space="preserve">No.</x:t>
  </x:si>
  <x:si>
    <x:t xml:space="preserve">工程</x:t>
  </x:si>
  <x:si>
    <x:t xml:space="preserve">対象</x:t>
  </x:si>
  <x:si>
    <x:t xml:space="preserve">作業</x:t>
  </x:si>
  <x:si>
    <x:t xml:space="preserve">詳細手順</x:t>
  </x:si>
  <x:si>
    <x:t xml:space="preserve">使用図</x:t>
  </x:si>
  <x:si>
    <x:t xml:space="preserve">予定分</x:t>
  </x:si>
  <x:si>
    <x:t xml:space="preserve">工具・材料</x:t>
  </x:si>
  <x:si>
    <x:t xml:space="preserve">前提工程</x:t>
  </x:si>
  <x:si>
    <x:t xml:space="preserve">合格条件</x:t>
  </x:si>
  <x:si>
    <x:t xml:space="preserve">異常時の対応</x:t>
  </x:si>
  <x:si>
    <x:t xml:space="preserve">状態</x:t>
  </x:si>
  <x:si>
    <x:t xml:space="preserve">実施日</x:t>
  </x:si>
  <x:si>
    <x:t xml:space="preserve">メモ</x:t>
  </x:si>
  <x:si>
    <x:t xml:space="preserve">A 準備</x:t>
  </x:si>
  <x:si>
    <x:t xml:space="preserve">全体</x:t>
  </x:si>
  <x:si>
    <x:t xml:space="preserve">最新版の図面をそろえる</x:t>
  </x:si>
  <x:si>
    <x:t xml:space="preserve">統合回路図、メイン基板部品配置、裏面①〜③、IMU1/2部品配置・裏面配線を開く。古いRev.5/6図は作業台から外す。</x:t>
  </x:si>
  <x:si>
    <x:t xml:space="preserve">PCまたは印刷物、赤ペン</x:t>
  </x:si>
  <x:si>
    <x:t xml:space="preserve">なし</x:t>
  </x:si>
  <x:si>
    <x:t xml:space="preserve">完了</x:t>
  </x:si>
  <x:si>
    <x:t xml:space="preserve">部品と数量を照合</x:t>
  </x:si>
  <x:si>
    <x:t xml:space="preserve">ESP32、1×10ピンADS1115、MPU6050×2、B基板×1、C基板×2、ADS用1×10Pオス/メス、その他ソケット、端子台、抵抗、C1〜C6、ねじ、線材を表と照合する。</x:t>
  </x:si>
  <x:si>
    <x:t xml:space="preserve">実装手順と全配線表.md</x:t>
  </x:si>
  <x:si>
    <x:t xml:space="preserve">部品表、テスター、ノギス</x:t>
  </x:si>
  <x:si>
    <x:t xml:space="preserve">1</x:t>
  </x:si>
  <x:si>
    <x:t xml:space="preserve">ADSが2.54mmピッチで、型番・個数・ピン配置が確認済み</x:t>
  </x:si>
  <x:si>
    <x:t xml:space="preserve">不足品を補充。ピッチ不明なら実測するまで保留</x:t>
  </x:si>
  <x:si>
    <x:t xml:space="preserve">作業環境</x:t>
  </x:si>
  <x:si>
    <x:t xml:space="preserve">工具と安全設備を準備</x:t>
  </x:si>
  <x:si>
    <x:t xml:space="preserve">換気、保護眼鏡、こて台、スポンジまたは真鍮クリーナーを用意。こて先は1〜2mm程度の細い平型または円すい形を使う。テスターの導通・DC電圧を既知の電池等で確認する。</x:t>
  </x:si>
  <x:si>
    <x:t xml:space="preserve">—</x:t>
  </x:si>
  <x:si>
    <x:t xml:space="preserve">温調はんだごて、こて台、換気、保護眼鏡、テスター</x:t>
  </x:si>
  <x:si>
    <x:t xml:space="preserve">2</x:t>
  </x:si>
  <x:si>
    <x:t xml:space="preserve">こてが安定し、テスターと換気が使用可能</x:t>
  </x:si>
  <x:si>
    <x:t xml:space="preserve">不具合工具を交換</x:t>
  </x:si>
  <x:si>
    <x:t xml:space="preserve">基板とケーブルを識別</x:t>
  </x:si>
  <x:si>
    <x:t xml:space="preserve">B基板、C基板IMU1、C基板IMU2、各ケーブル両端へ耐熱ラベルを付ける。MPU2へ「0x69」と記す。</x:t>
  </x:si>
  <x:si>
    <x:t xml:space="preserve">統合電気回路図.svg</x:t>
  </x:si>
  <x:si>
    <x:t xml:space="preserve">耐熱ラベル、油性ペン</x:t>
  </x:si>
  <x:si>
    <x:t xml:space="preserve">組立後もIMU1/2とケーブルを識別できる</x:t>
  </x:si>
  <x:si>
    <x:t xml:space="preserve">ラベルを付け直す</x:t>
  </x:si>
  <x:si>
    <x:t xml:space="preserve">未着手</x:t>
  </x:si>
  <x:si>
    <x:t xml:space="preserve">メインB基板</x:t>
  </x:si>
  <x:si>
    <x:t xml:space="preserve">無通電で仮置き</x:t>
  </x:si>
  <x:si>
    <x:t xml:space="preserve">ESP32とADSを図の穴位置へ置く。ADSは回路面を上、VDDを列20側にする。端子台6個は行24で開口を基板外へ向け、前方15mm以上に障害物がないことを確認する。</x:t>
  </x:si>
  <x:si>
    <x:t xml:space="preserve">部品配置.svg</x:t>
  </x:si>
  <x:si>
    <x:t xml:space="preserve">基板、全主要部品、マスキングテープ、定規</x:t>
  </x:si>
  <x:si>
    <x:t xml:space="preserve">1-4</x:t>
  </x:si>
  <x:si>
    <x:t xml:space="preserve">ADSの向きが正しく、端子台前方15mmと上側ねじ操作空間を確保</x:t>
  </x:si>
  <x:si>
    <x:t xml:space="preserve">干渉箇所を直してから座標表を更新</x:t>
  </x:si>
  <x:si>
    <x:t xml:space="preserve">IMU C基板×2</x:t>
  </x:si>
  <x:si>
    <x:t xml:space="preserve">1×6Pソケット、C4/C5、2P端子台2個、MPU基板を仮置きし、VINが列10側になる向きを確認する。</x:t>
  </x:si>
  <x:si>
    <x:t xml:space="preserve">IMU1/2_部品配置.svg</x:t>
  </x:si>
  <x:si>
    <x:t xml:space="preserve">C基板、MPU、ソケット、端子台</x:t>
  </x:si>
  <x:si>
    <x:t xml:space="preserve">両基板でVIN/GND/SCL/SDA位置が図と一致</x:t>
  </x:si>
  <x:si>
    <x:t xml:space="preserve">向き不明ならピンラベルを再確認</x:t>
  </x:si>
  <x:si>
    <x:t xml:space="preserve">固定穴を加工</x:t>
  </x:si>
  <x:si>
    <x:t xml:space="preserve">部品をすべて外す。MPUを現物写しし、上側2穴を約2.7mmで加工。防塵マスクと保護眼鏡を着用し、バリとガラスエポキシ粉じんを除去する。</x:t>
  </x:si>
  <x:si>
    <x:t xml:space="preserve">2.7mmドリル、防塵マスク、保護眼鏡、掃除具</x:t>
  </x:si>
  <x:si>
    <x:t xml:space="preserve">6</x:t>
  </x:si>
  <x:si>
    <x:t xml:space="preserve">M2.5ねじが無理なく通り、銅箔のめくれや亀裂なし</x:t>
  </x:si>
  <x:si>
    <x:t xml:space="preserve">亀裂があれば基板交換。穴は無理に広げない</x:t>
  </x:si>
  <x:si>
    <x:t xml:space="preserve">ソケット</x:t>
  </x:si>
  <x:si>
    <x:t xml:space="preserve">ソケットを必要長へ加工</x:t>
  </x:si>
  <x:si>
    <x:t xml:space="preserve">ESP32用、ADS用1×10Pメス、ADS用1×10Pオス、MPU用1×6Pを必要ピン数へ切る。切断面を整え、全ピンが基板穴へ入ることを確認する。</x:t>
  </x:si>
  <x:si>
    <x:t xml:space="preserve">部品配置.svg、IMU部品配置.svg</x:t>
  </x:si>
  <x:si>
    <x:t xml:space="preserve">ニッパー、ヤスリ、予備ソケット/ピンヘッダー</x:t>
  </x:si>
  <x:si>
    <x:t xml:space="preserve">5-7</x:t>
  </x:si>
  <x:si>
    <x:t xml:space="preserve">欠け・曲がりがなく、ピン数と2.54mm間隔が一致</x:t>
  </x:si>
  <x:si>
    <x:t xml:space="preserve">損傷品は使わず予備から作り直す</x:t>
  </x:si>
  <x:si>
    <x:t xml:space="preserve">線材</x:t>
  </x:si>
  <x:si>
    <x:t xml:space="preserve">裏面①〜③、IMU裏面配線</x:t>
  </x:si>
  <x:si>
    <x:t xml:space="preserve">ニッパー、ストリッパー、定規</x:t>
  </x:si>
  <x:si>
    <x:t xml:space="preserve">5-8</x:t>
  </x:si>
  <x:si>
    <x:t xml:space="preserve">傷がある線は交換</x:t>
  </x:si>
  <x:si>
    <x:t xml:space="preserve">B メイン部品</x:t>
  </x:si>
  <x:si>
    <x:t xml:space="preserve">B基板</x:t>
  </x:si>
  <x:si>
    <x:t xml:space="preserve">部品座標をマーキング</x:t>
  </x:si>
  <x:si>
    <x:t xml:space="preserve">部品面の列・行を基板端へ小さく記入し、R1/R2/R7/R8、C1/C2/C3/C6、ソケット、端子台の穴を印す。</x:t>
  </x:si>
  <x:si>
    <x:t xml:space="preserve">細字ペン、定規</x:t>
  </x:si>
  <x:si>
    <x:t xml:space="preserve">5</x:t>
  </x:si>
  <x:si>
    <x:t xml:space="preserve">主要穴を図と照合できる</x:t>
  </x:si>
  <x:si>
    <x:t xml:space="preserve">1穴ずれを修正してから続行</x:t>
  </x:si>
  <x:si>
    <x:t xml:space="preserve">R1・R2をはんだ付け</x:t>
  </x:si>
  <x:si>
    <x:t xml:space="preserve">R1を行13、R2を行16の指定穴へ取り付ける。脚を軽く広げて保持し、ランドと脚を同時に加熱して1か所ずつ接合する。</x:t>
  </x:si>
  <x:si>
    <x:t xml:space="preserve">1kΩ×2、こて、はんだ</x:t>
  </x:si>
  <x:si>
    <x:t xml:space="preserve">10</x:t>
  </x:si>
  <x:si>
    <x:t xml:space="preserve">値と穴位置が正しく、表面へ密着、円すい状の接合</x:t>
  </x:si>
  <x:si>
    <x:t xml:space="preserve">吸取線で外し、穴清掃後にやり直す</x:t>
  </x:si>
  <x:si>
    <x:t xml:space="preserve">R7・R8をはんだ付け</x:t>
  </x:si>
  <x:si>
    <x:t xml:space="preserve">100kΩをGPIO27側とADC側の指定穴へ取り付ける。1kΩとの取り違えを色帯またはテスターで防ぐ。</x:t>
  </x:si>
  <x:si>
    <x:t xml:space="preserve">100kΩ×2、テスター、こて</x:t>
  </x:si>
  <x:si>
    <x:t xml:space="preserve">11</x:t>
  </x:si>
  <x:si>
    <x:t xml:space="preserve">各抵抗が約100kΩで、R7/R8の片側だけが共通</x:t>
  </x:si>
  <x:si>
    <x:t xml:space="preserve">誤値は交換。抵抗をワイヤーで迂回しない</x:t>
  </x:si>
  <x:si>
    <x:t xml:space="preserve">C1・C2・C3をはんだ付け</x:t>
  </x:si>
  <x:si>
    <x:t xml:space="preserve">100nF積層セラミックを指定位置へ取り付ける。C1/C2はADC側―GND、C3はADS VDD―GND。</x:t>
  </x:si>
  <x:si>
    <x:t xml:space="preserve">部品配置.svg、統合電気回路図.svg</x:t>
  </x:si>
  <x:si>
    <x:t xml:space="preserve">100nF×3、こて</x:t>
  </x:si>
  <x:si>
    <x:t xml:space="preserve">12</x:t>
  </x:si>
  <x:si>
    <x:t xml:space="preserve">各コンデンサーが正しい2ネット間にあり、脚間短絡なし</x:t>
  </x:si>
  <x:si>
    <x:t xml:space="preserve">位置を再確認して付け直す</x:t>
  </x:si>
  <x:si>
    <x:t xml:space="preserve">ESP32ソケットを仮固定</x:t>
  </x:si>
  <x:si>
    <x:t xml:space="preserve">左右ソケットへESP32を無通電で挿して平行を出す。対角2点だけを短時間ではんだ付けし、垂直・間隔を確認する。</x:t>
  </x:si>
  <x:si>
    <x:t xml:space="preserve">ESP32、ソケット、こて</x:t>
  </x:si>
  <x:si>
    <x:t xml:space="preserve">13</x:t>
  </x:si>
  <x:si>
    <x:t xml:space="preserve">ESP32が無理なく抜き差しでき、USB向きが正しい</x:t>
  </x:si>
  <x:si>
    <x:t xml:space="preserve">2点だけ再加熱して位置修正</x:t>
  </x:si>
  <x:si>
    <x:t xml:space="preserve">B基板・ADS</x:t>
  </x:si>
  <x:si>
    <x:t xml:space="preserve">ADSピンとソケットを仮固定</x:t>
  </x:si>
  <x:si>
    <x:t xml:space="preserve">ADSへ1×10Pオスピンを垂直にはんだ付けする。回路面を上にしてメスソケットへ挿し、表面左からVDD/GND/SCL/SDA/ADDR/ALRT/A0/A1/A2/A3と確認して両端2点を仮止めする。</x:t>
  </x:si>
  <x:si>
    <x:t xml:space="preserve">ADS、1×10Pオス/メス、こて</x:t>
  </x:si>
  <x:si>
    <x:t xml:space="preserve">14</x:t>
  </x:si>
  <x:si>
    <x:t xml:space="preserve">列20=VDD、列29=A3で、ADSが無理なく抜き差し可能</x:t>
  </x:si>
  <x:si>
    <x:t xml:space="preserve">仮はんだを外して向きと垂直を修正</x:t>
  </x:si>
  <x:si>
    <x:t xml:space="preserve">ソケット全ピンをはんだ付け</x:t>
  </x:si>
  <x:si>
    <x:t xml:space="preserve">ESP32とADS本体を抜く。仮止め以外の全ピンを順番に接合し、最後に仮止め部を仕上げる。</x:t>
  </x:si>
  <x:si>
    <x:t xml:space="preserve">こて、はんだ、吸取線</x:t>
  </x:si>
  <x:si>
    <x:t xml:space="preserve">14-15</x:t>
  </x:si>
  <x:si>
    <x:t xml:space="preserve">全ランドに濡れ、隣接ピン間のブリッジなし</x:t>
  </x:si>
  <x:si>
    <x:t xml:space="preserve">ブリッジは吸取線で除去。過熱時は冷却</x:t>
  </x:si>
  <x:si>
    <x:t xml:space="preserve">端子台をはんだ付け</x:t>
  </x:si>
  <x:si>
    <x:t xml:space="preserve">MPU用2P×4、ペダル用3P×2をすべて行24へ置き、挿入口を下側の基板外へ向ける。各ブロックの1脚を仮止めし、直角と前方15mm空間を確認後、残りを接合する。</x:t>
  </x:si>
  <x:si>
    <x:t xml:space="preserve">端子台、耐熱テープ、こて、定規</x:t>
  </x:si>
  <x:si>
    <x:t xml:space="preserve">16</x:t>
  </x:si>
  <x:si>
    <x:t xml:space="preserve">6個すべてが外向きで、前方15mm以上、上からねじ操作可能</x:t>
  </x:si>
  <x:si>
    <x:t xml:space="preserve">仮止め1点を再加熱して修正</x:t>
  </x:si>
  <x:si>
    <x:t xml:space="preserve">3Pが1つ足りなかった</x:t>
  </x:si>
  <x:si>
    <x:t xml:space="preserve">C6をはんだ付け</x:t>
  </x:si>
  <x:si>
    <x:t xml:space="preserve">10µF、こて</x:t>
  </x:si>
  <x:si>
    <x:t xml:space="preserve">17</x:t>
  </x:si>
  <x:si>
    <x:t xml:space="preserve">逆なら通電せず新品へ交換</x:t>
  </x:si>
  <x:si>
    <x:t xml:space="preserve">部品面と裏面を清掃・検査</x:t>
  </x:si>
  <x:si>
    <x:t xml:space="preserve">切ったリード片を除去。拡大鏡でブリッジ、未濡れ、浮き、はんだ球を確認する。</x:t>
  </x:si>
  <x:si>
    <x:t xml:space="preserve">拡大鏡、IPA、ブラシ</x:t>
  </x:si>
  <x:si>
    <x:t xml:space="preserve">11-18</x:t>
  </x:si>
  <x:si>
    <x:t xml:space="preserve">異物なし。すべての接合が光学検査合格</x:t>
  </x:si>
  <x:si>
    <x:t xml:space="preserve">該当点だけ再はんだして再検査</x:t>
  </x:si>
  <x:si>
    <x:t xml:space="preserve">C メイン配線</x:t>
  </x:si>
  <x:si>
    <x:t xml:space="preserve">B基板裏面</x:t>
  </x:si>
  <x:si>
    <x:t xml:space="preserve">0.5mmスズメッキ線、こて</x:t>
  </x:si>
  <x:si>
    <x:t xml:space="preserve">19</x:t>
  </x:si>
  <x:si>
    <x:t xml:space="preserve">余計な接続を吸取線で除去し線を交換</x:t>
  </x:si>
  <x:si>
    <x:t xml:space="preserve">裏面① 電源・GND.svg</x:t>
  </x:si>
  <x:si>
    <x:t xml:space="preserve">20</x:t>
  </x:si>
  <x:si>
    <x:t xml:space="preserve">1本ずつ外して短絡区間を切り分け</x:t>
  </x:si>
  <x:si>
    <x:t xml:space="preserve">電源系の中間検査</x:t>
  </x:si>
  <x:si>
    <x:t xml:space="preserve">導通チェック表</x:t>
  </x:si>
  <x:si>
    <x:t xml:space="preserve">テスター</x:t>
  </x:si>
  <x:si>
    <x:t xml:space="preserve">21</x:t>
  </x:si>
  <x:si>
    <x:t xml:space="preserve">同一ネット導通、3V3―GNDの恒久短絡なし</x:t>
  </x:si>
  <x:si>
    <x:t xml:space="preserve">不合格箇所が直るまでI²Cへ進まない</x:t>
  </x:si>
  <x:si>
    <x:t xml:space="preserve">I²Cを配線</x:t>
  </x:si>
  <x:si>
    <x:t xml:space="preserve">裏面② I²C.svg</x:t>
  </x:si>
  <x:si>
    <x:t xml:space="preserve">AWG24緑・青、こて</x:t>
  </x:si>
  <x:si>
    <x:t xml:space="preserve">22</x:t>
  </x:si>
  <x:si>
    <x:t xml:space="preserve">端点ラベルを追い、誤線を交換</x:t>
  </x:si>
  <x:si>
    <x:t xml:space="preserve">I²C中間検査</x:t>
  </x:si>
  <x:si>
    <x:t xml:space="preserve">GPIO21―ADS SDA―MPU1/2 SDA、GPIO22―ADS SCL―MPU1/2 SCLの導通を測る。SDA―SCLは短絡なし。</x:t>
  </x:si>
  <x:si>
    <x:t xml:space="preserve">23</x:t>
  </x:si>
  <x:si>
    <x:t xml:space="preserve">4点ずつ導通し、SDA/SCL/GND間にブリッジなし</x:t>
  </x:si>
  <x:si>
    <x:t xml:space="preserve">ブリッジ除去後に再測定</x:t>
  </x:si>
  <x:si>
    <x:t xml:space="preserve">ペダル・ADCを配線</x:t>
  </x:si>
  <x:si>
    <x:t xml:space="preserve">裏面③ ペダル・ADC・GPIO27.svg</x:t>
  </x:si>
  <x:si>
    <x:t xml:space="preserve">AWG24、こて</x:t>
  </x:si>
  <x:si>
    <x:t xml:space="preserve">24</x:t>
  </x:si>
  <x:si>
    <x:t xml:space="preserve">A0/A1が別ネットで、各1kΩを必ず通り、C1/C2がGNDへ入る</x:t>
  </x:si>
  <x:si>
    <x:t xml:space="preserve">抵抗を迂回する線があれば除去</x:t>
  </x:si>
  <x:si>
    <x:t xml:space="preserve">GPIO27・R7/R8を配線</x:t>
  </x:si>
  <x:si>
    <x:t xml:space="preserve">GPIO27をR7/R8左端だけで分岐し、R7右端→A0、R8右端→A1へ接続する。</x:t>
  </x:si>
  <x:si>
    <x:t xml:space="preserve">AWG24橙・紫・桃、こて</x:t>
  </x:si>
  <x:si>
    <x:t xml:space="preserve">25</x:t>
  </x:si>
  <x:si>
    <x:t xml:space="preserve">GPIO27からA0/A1へ各約100kΩ経路。A0/A1直結なし</x:t>
  </x:si>
  <x:si>
    <x:t xml:space="preserve">配線を追って誤分岐を修正</x:t>
  </x:si>
  <x:si>
    <x:t xml:space="preserve">メイン基板総合検査</x:t>
  </x:si>
  <x:si>
    <x:t xml:space="preserve">実装手順と全配線表.md、導通チェック表</x:t>
  </x:si>
  <x:si>
    <x:t xml:space="preserve">テスター、拡大鏡、チェックペン</x:t>
  </x:si>
  <x:si>
    <x:t xml:space="preserve">20-26</x:t>
  </x:si>
  <x:si>
    <x:t xml:space="preserve">不合格ネットの工程へ戻る</x:t>
  </x:si>
  <x:si>
    <x:t xml:space="preserve">D IMU基板</x:t>
  </x:si>
  <x:si>
    <x:t xml:space="preserve">MPUモジュール×2</x:t>
  </x:si>
  <x:si>
    <x:t xml:space="preserve">1×6Pピンヘッダーを取り付け</x:t>
  </x:si>
  <x:si>
    <x:t xml:space="preserve">未実装ならオスピンを各MPUへ付ける。C基板ソケットを治具にして垂直を出し、端の1本→反対端→残りの順に接合する。</x:t>
  </x:si>
  <x:si>
    <x:t xml:space="preserve">IMU部品配置.svg</x:t>
  </x:si>
  <x:si>
    <x:t xml:space="preserve">1×6Pオス、ソケット、こて</x:t>
  </x:si>
  <x:si>
    <x:t xml:space="preserve">8</x:t>
  </x:si>
  <x:si>
    <x:t xml:space="preserve">6ピンが平行でソケットへ無理なく挿入可能</x:t>
  </x:si>
  <x:si>
    <x:t xml:space="preserve">端ピンだけ再加熱して垂直修正</x:t>
  </x:si>
  <x:si>
    <x:t xml:space="preserve">C基板×2</x:t>
  </x:si>
  <x:si>
    <x:t xml:space="preserve">C4・C5をはんだ付け</x:t>
  </x:si>
  <x:si>
    <x:t xml:space="preserve">各100nFを行10の列10(3V3)―列12(GND)へ取り付ける。低い部品なのでソケットより先に行う。</x:t>
  </x:si>
  <x:si>
    <x:t xml:space="preserve">100nF×2、こて</x:t>
  </x:si>
  <x:si>
    <x:t xml:space="preserve">7,10</x:t>
  </x:si>
  <x:si>
    <x:t xml:space="preserve">C4/C5が正しい穴にあり脚間以外のブリッジなし</x:t>
  </x:si>
  <x:si>
    <x:t xml:space="preserve">付け直す</x:t>
  </x:si>
  <x:si>
    <x:t xml:space="preserve">1×6Pソケットをはんだ付け</x:t>
  </x:si>
  <x:si>
    <x:t xml:space="preserve">MPUを無通電で挿してVIN列10側を確認。両端を仮止めし、MPUを抜いて残りを接合する。</x:t>
  </x:si>
  <x:si>
    <x:t xml:space="preserve">1×6Pソケット、MPU、こて</x:t>
  </x:si>
  <x:si>
    <x:t xml:space="preserve">28-29</x:t>
  </x:si>
  <x:si>
    <x:t xml:space="preserve">VIN/3Vo/GND/SCL/SDA/INTが列10〜15に一致</x:t>
  </x:si>
  <x:si>
    <x:t xml:space="preserve">向き違いは通電前に取り外して修正</x:t>
  </x:si>
  <x:si>
    <x:t xml:space="preserve">2P端子台をはんだ付け</x:t>
  </x:si>
  <x:si>
    <x:t xml:space="preserve">電源端子を列10=3V3/11=GND、信号端子を列13=SCL/14=SDAに置き、挿入口を下辺側へ向ける。</x:t>
  </x:si>
  <x:si>
    <x:t xml:space="preserve">2P端子台×4、こて</x:t>
  </x:si>
  <x:si>
    <x:t xml:space="preserve">30</x:t>
  </x:si>
  <x:si>
    <x:t xml:space="preserve">端子台が直角でラベル位置と一致</x:t>
  </x:si>
  <x:si>
    <x:t xml:space="preserve">仮止め点を再加熱して修正</x:t>
  </x:si>
  <x:si>
    <x:t xml:space="preserve">IMU1 C基板</x:t>
  </x:si>
  <x:si>
    <x:t xml:space="preserve">裏面6区間を配線</x:t>
  </x:si>
  <x:si>
    <x:t xml:space="preserve">3V3列10、GND列12→11、SCL列13、SDA列14を図どおり配線。C4脚を3V3/GNDへ分岐する。</x:t>
  </x:si>
  <x:si>
    <x:t xml:space="preserve">IMU1_裏面配線.svg</x:t>
  </x:si>
  <x:si>
    <x:t xml:space="preserve">31</x:t>
  </x:si>
  <x:si>
    <x:t xml:space="preserve">4ネットが交差せず、3Vo/INTは未接続</x:t>
  </x:si>
  <x:si>
    <x:t xml:space="preserve">誤接続線を外して交換</x:t>
  </x:si>
  <x:si>
    <x:t xml:space="preserve">IMU2 C基板</x:t>
  </x:si>
  <x:si>
    <x:t xml:space="preserve">IMU1と同じ4ネットを配線し、C5脚を3V3/GNDへ分岐する。</x:t>
  </x:si>
  <x:si>
    <x:t xml:space="preserve">IMU2_裏面配線.svg</x:t>
  </x:si>
  <x:si>
    <x:t xml:space="preserve">MPU2のみ</x:t>
  </x:si>
  <x:si>
    <x:t xml:space="preserve">ADDRジャンパーを短絡</x:t>
  </x:si>
  <x:si>
    <x:t xml:space="preserve">MPU2裏面ADDRの2パッドへ少量のはんだを盛り、確実に橋渡しする。MPU1は開放のまま。</x:t>
  </x:si>
  <x:si>
    <x:t xml:space="preserve">IMU2_部品配置.svg、統合電気回路図.svg</x:t>
  </x:si>
  <x:si>
    <x:t xml:space="preserve">細いはんだ、フラックス、拡大鏡</x:t>
  </x:si>
  <x:si>
    <x:t xml:space="preserve">28</x:t>
  </x:si>
  <x:si>
    <x:t xml:space="preserve">MPU2のみジャンパー導通。MPU1は非導通</x:t>
  </x:si>
  <x:si>
    <x:t xml:space="preserve">吸取線で除去し、対象を再確認</x:t>
  </x:si>
  <x:si>
    <x:t xml:space="preserve">MPUを機械固定</x:t>
  </x:si>
  <x:si>
    <x:t xml:space="preserve">ソケットへ挿し、上側2穴をM2.5ナイロンねじ・スペーサーで固定。基板を反らせず、ソケットに横荷重を掛けない。</x:t>
  </x:si>
  <x:si>
    <x:t xml:space="preserve">M2.5樹脂ねじ、スペーサー</x:t>
  </x:si>
  <x:si>
    <x:t xml:space="preserve">30-34</x:t>
  </x:si>
  <x:si>
    <x:t xml:space="preserve">がたつきなし、基板反りなし、ピンが最後まで挿入</x:t>
  </x:si>
  <x:si>
    <x:t xml:space="preserve">スペーサー高さを調整</x:t>
  </x:si>
  <x:si>
    <x:t xml:space="preserve">IMU基板単体検査</x:t>
  </x:si>
  <x:si>
    <x:t xml:space="preserve">VIN端子→VIN、GND→GND、SCL/SDA各端子→同名ピンを測る。3Vo/INTが未接続、3V3―GND短絡なしを確認する。</x:t>
  </x:si>
  <x:si>
    <x:t xml:space="preserve">IMU実装手順と全配線表.md、導通チェック表</x:t>
  </x:si>
  <x:si>
    <x:t xml:space="preserve">テスター、拡大鏡</x:t>
  </x:si>
  <x:si>
    <x:t xml:space="preserve">32-35</x:t>
  </x:si>
  <x:si>
    <x:t xml:space="preserve">両基板で全項目合格</x:t>
  </x:si>
  <x:si>
    <x:t xml:space="preserve">不合格基板だけを修理し再検査</x:t>
  </x:si>
  <x:si>
    <x:t xml:space="preserve">E ケーブル</x:t>
  </x:si>
  <x:si>
    <x:t xml:space="preserve">IMUケーブル×2</x:t>
  </x:si>
  <x:si>
    <x:t xml:space="preserve">4芯を切りそろえる</x:t>
  </x:si>
  <x:si>
    <x:t xml:space="preserve">赤3V3、黒GND、緑SDA、青SCLを必要長＋サービスループ分で各2組切る。I²Cは短くし、目安30cm以内にする。</x:t>
  </x:si>
  <x:si>
    <x:t xml:space="preserve">IMU_電気接続.svg</x:t>
  </x:si>
  <x:si>
    <x:t xml:space="preserve">AWG24より線4色、定規、ニッパー</x:t>
  </x:si>
  <x:si>
    <x:t xml:space="preserve">4</x:t>
  </x:si>
  <x:si>
    <x:t xml:space="preserve">各組4色が同じ長さで識別ラベル付き</x:t>
  </x:si>
  <x:si>
    <x:t xml:space="preserve">長すぎる場合は短く作り直す</x:t>
  </x:si>
  <x:si>
    <x:t xml:space="preserve">端末を処理</x:t>
  </x:si>
  <x:si>
    <x:t xml:space="preserve">各端を端子台のクランプ長に合わせて約4〜5mm剥き、素線を軽くねじる。ねじ端子へ入る部分ははんだメッキしない。</x:t>
  </x:si>
  <x:si>
    <x:t xml:space="preserve">ストリッパー、必要ならフェルール工具</x:t>
  </x:si>
  <x:si>
    <x:t xml:space="preserve">37</x:t>
  </x:si>
  <x:si>
    <x:t xml:space="preserve">素線切れ・飛び出しなし。被覆が端子入口直前まで来る</x:t>
  </x:si>
  <x:si>
    <x:t xml:space="preserve">芯線損傷時は切り戻す</x:t>
  </x:si>
  <x:si>
    <x:t xml:space="preserve">メイン基板側</x:t>
  </x:si>
  <x:si>
    <x:t xml:space="preserve">IMUケーブルを接続</x:t>
  </x:si>
  <x:si>
    <x:t xml:space="preserve">電源2Pへ赤=3V3・黒=GND、信号2Pへ緑=SDA・青=SCLを挿入し、ねじを締めて1本ずつ引張確認する。</x:t>
  </x:si>
  <x:si>
    <x:t xml:space="preserve">部品配置.svg、IMU_電気接続.svg</x:t>
  </x:si>
  <x:si>
    <x:t xml:space="preserve">小型ドライバー</x:t>
  </x:si>
  <x:si>
    <x:t xml:space="preserve">27,38</x:t>
  </x:si>
  <x:si>
    <x:t xml:space="preserve">銅線露出が最小で、引張って抜けない</x:t>
  </x:si>
  <x:si>
    <x:t xml:space="preserve">剥き長さと締付けを修正</x:t>
  </x:si>
  <x:si>
    <x:t xml:space="preserve">IMU基板側</x:t>
  </x:si>
  <x:si>
    <x:t xml:space="preserve">電源は3V3/GNDへ、信号は小基板ラベルSCL/SDAへ色名で接続する。位置だけで判断しない。</x:t>
  </x:si>
  <x:si>
    <x:t xml:space="preserve">36,39</x:t>
  </x:si>
  <x:si>
    <x:t xml:space="preserve">赤→3V3、黒→GND、緑→SDA、青→SCLが両端一致</x:t>
  </x:si>
  <x:si>
    <x:t xml:space="preserve">全端を外し色ごとに再確認</x:t>
  </x:si>
  <x:si>
    <x:t xml:space="preserve">ケーブル×2</x:t>
  </x:si>
  <x:si>
    <x:t xml:space="preserve">張力対策を仮施工</x:t>
  </x:si>
  <x:si>
    <x:t xml:space="preserve">ケーブルを端子台前方へまっすぐ15mm以上出してから緩く曲げ、30〜50mm位置でケースへ固定する。可動部で最小曲げ半径を確保する。</x:t>
  </x:si>
  <x:si>
    <x:t xml:space="preserve">結束バンド、固定具</x:t>
  </x:si>
  <x:si>
    <x:t xml:space="preserve">40</x:t>
  </x:si>
  <x:si>
    <x:t xml:space="preserve">端子台前方に障害物がなく、端子へ直接引張力が掛からない</x:t>
  </x:si>
  <x:si>
    <x:t xml:space="preserve">固定位置または余長を変更</x:t>
  </x:si>
  <x:si>
    <x:t xml:space="preserve">F 無通電検査</x:t>
  </x:si>
  <x:si>
    <x:t xml:space="preserve">極性・向きの最終目視</x:t>
  </x:si>
  <x:si>
    <x:t xml:space="preserve">C6極性、ESP/MPU向き、ADS回路面が上かつ列20=VDD、端子台6個が外向き、前方15mm空間、MPU2ジャンパー、金属片の残留を確認する。</x:t>
  </x:si>
  <x:si>
    <x:t xml:space="preserve">統合電気回路図.svg、全部品配置図</x:t>
  </x:si>
  <x:si>
    <x:t xml:space="preserve">拡大鏡、チェック表、定規</x:t>
  </x:si>
  <x:si>
    <x:t xml:space="preserve">27,36,41</x:t>
  </x:si>
  <x:si>
    <x:t xml:space="preserve">全項目を別方向から2回確認し相違なし</x:t>
  </x:si>
  <x:si>
    <x:t xml:space="preserve">相違箇所を修正後、該当導通検査をやり直す</x:t>
  </x:si>
  <x:si>
    <x:t xml:space="preserve">電源短絡を確認</x:t>
  </x:si>
  <x:si>
    <x:t xml:space="preserve">ESP32、ADS、MPUをソケットから外し、USBも未接続にする。各基板と接続済みケーブルで3V3―GNDを測る。</x:t>
  </x:si>
  <x:si>
    <x:t xml:space="preserve">テスター（抵抗・導通）</x:t>
  </x:si>
  <x:si>
    <x:t xml:space="preserve">42</x:t>
  </x:si>
  <x:si>
    <x:t xml:space="preserve">導通ブザーが鳴り続けず、抵抗がほぼ0Ωに固定されない</x:t>
  </x:si>
  <x:si>
    <x:t xml:space="preserve">ケーブル→小基板→メインの順に外して切り分け</x:t>
  </x:si>
  <x:si>
    <x:t xml:space="preserve">主要ネット導通</x:t>
  </x:si>
  <x:si>
    <x:t xml:space="preserve">3V3、GND、SDA、SCL、A0、A1、GPIO27を導通チェック表のプローブ点で測る。</x:t>
  </x:si>
  <x:si>
    <x:t xml:space="preserve">43</x:t>
  </x:si>
  <x:si>
    <x:t xml:space="preserve">同名点のみ導通し、異名ネット間短絡なし</x:t>
  </x:si>
  <x:si>
    <x:t xml:space="preserve">不合格ネットの配線工程へ戻る</x:t>
  </x:si>
  <x:si>
    <x:t xml:space="preserve">抵抗経路を確認</x:t>
  </x:si>
  <x:si>
    <x:t xml:space="preserve">SIG1―A0とSIG2―A1が各約1kΩ、GPIO27―A0/A1が各約100kΩであることを確認する。並列経路の影響が疑われる場合は片端を浮かせて確認する。</x:t>
  </x:si>
  <x:si>
    <x:t xml:space="preserve">テスター（抵抗）</x:t>
  </x:si>
  <x:si>
    <x:t xml:space="preserve">44</x:t>
  </x:si>
  <x:si>
    <x:t xml:space="preserve">取り違え・0Ωバイパス・断線なし</x:t>
  </x:si>
  <x:si>
    <x:t xml:space="preserve">誤部品交換またはバイパス線除去</x:t>
  </x:si>
  <x:si>
    <x:t xml:space="preserve">小基板とケーブルを確認</x:t>
  </x:si>
  <x:si>
    <x:t xml:space="preserve">メイン端子から各MPUソケットVIN/GND/SDA/SCLまで導通し、4線相互の短絡がないことを確認する。</x:t>
  </x:si>
  <x:si>
    <x:t xml:space="preserve">導通チェック表、IMU裏面配線</x:t>
  </x:si>
  <x:si>
    <x:t xml:space="preserve">43-45</x:t>
  </x:si>
  <x:si>
    <x:t xml:space="preserve">両ケーブル・両小基板で4線一致</x:t>
  </x:si>
  <x:si>
    <x:t xml:space="preserve">片端ずつ外して誤配線を特定</x:t>
  </x:si>
  <x:si>
    <x:t xml:space="preserve">モジュール挿入前判定</x:t>
  </x:si>
  <x:si>
    <x:t xml:space="preserve">導通チェック表の必須項目をすべて合格にし、測定値・日付を記録する。</x:t>
  </x:si>
  <x:si>
    <x:t xml:space="preserve">工程表、ペン</x:t>
  </x:si>
  <x:si>
    <x:t xml:space="preserve">42-46</x:t>
  </x:si>
  <x:si>
    <x:t xml:space="preserve">不合格・未確認が0件</x:t>
  </x:si>
  <x:si>
    <x:t xml:space="preserve">未完項目があれば通電禁止</x:t>
  </x:si>
  <x:si>
    <x:t xml:space="preserve">G 段階通電</x:t>
  </x:si>
  <x:si>
    <x:t xml:space="preserve">ESP32のみ</x:t>
  </x:si>
  <x:si>
    <x:t xml:space="preserve">3.3V電源を確認</x:t>
  </x:si>
  <x:si>
    <x:t xml:space="preserve">ADS/MPUを外したままESP32をソケットへ挿す。USBを接続し、3V3―GNDをDC電圧で測る。異臭・発熱があれば直ちに抜く。</x:t>
  </x:si>
  <x:si>
    <x:t xml:space="preserve">USB電源、テスター</x:t>
  </x:si>
  <x:si>
    <x:t xml:space="preserve">47</x:t>
  </x:si>
  <x:si>
    <x:t xml:space="preserve">3.3Vレールが概ね3.2〜3.4Vで安定し、異常発熱なし</x:t>
  </x:si>
  <x:si>
    <x:t xml:space="preserve">即時電源断。向き・短絡・C6極性を再確認</x:t>
  </x:si>
  <x:si>
    <x:t xml:space="preserve">ESP32＋ADS</x:t>
  </x:si>
  <x:si>
    <x:t xml:space="preserve">ADSを追加して確認</x:t>
  </x:si>
  <x:si>
    <x:t xml:space="preserve">電源を切り、回路面を上・VDDを列20側にしてADSを挿す。再通電し、ADS VDD電圧とI²Cスキャン0x48を確認する。</x:t>
  </x:si>
  <x:si>
    <x:t xml:space="preserve">I²Cスキャン用ファームウェア</x:t>
  </x:si>
  <x:si>
    <x:t xml:space="preserve">48</x:t>
  </x:si>
  <x:si>
    <x:t xml:space="preserve">0x48を1個検出し、3V3が安定</x:t>
  </x:si>
  <x:si>
    <x:t xml:space="preserve">電源断しADDR/GND/SDA/SCL/向きを確認</x:t>
  </x:si>
  <x:si>
    <x:t xml:space="preserve">IMU1</x:t>
  </x:si>
  <x:si>
    <x:t xml:space="preserve">IMU1だけ追加</x:t>
  </x:si>
  <x:si>
    <x:t xml:space="preserve">電源を切りIMU1ケーブルを接続。再通電し、0x48と0x68を確認する。IMU1 VINも測る。</x:t>
  </x:si>
  <x:si>
    <x:t xml:space="preserve">テスター、I²Cスキャナー</x:t>
  </x:si>
  <x:si>
    <x:t xml:space="preserve">49</x:t>
  </x:si>
  <x:si>
    <x:t xml:space="preserve">0x48・0x68を検出。IMU1 VINが3.3V付近</x:t>
  </x:si>
  <x:si>
    <x:t xml:space="preserve">電源断しケーブルとADDR開放を確認</x:t>
  </x:si>
  <x:si>
    <x:t xml:space="preserve">IMU2</x:t>
  </x:si>
  <x:si>
    <x:t xml:space="preserve">IMU2を追加</x:t>
  </x:si>
  <x:si>
    <x:t xml:space="preserve">電源を切りIMU2を接続。再通電し、0x48・0x68・0x69の3アドレスを確認する。</x:t>
  </x:si>
  <x:si>
    <x:t xml:space="preserve">I²Cスキャナー</x:t>
  </x:si>
  <x:si>
    <x:t xml:space="preserve">50</x:t>
  </x:si>
  <x:si>
    <x:t xml:space="preserve">3アドレスを同時検出</x:t>
  </x:si>
  <x:si>
    <x:t xml:space="preserve">0x68重複ならIMU2 ADDRジャンパーを修正</x:t>
  </x:si>
  <x:si>
    <x:t xml:space="preserve">IMU1/2</x:t>
  </x:si>
  <x:si>
    <x:t xml:space="preserve">センサーデータを確認</x:t>
  </x:si>
  <x:si>
    <x:t xml:space="preserve">各IMUを一つずつ傾け、対象の加速度・角速度だけが変化することを確認する。静止時の値と通信エラーを記録する。</x:t>
  </x:si>
  <x:si>
    <x:t xml:space="preserve">動作確認ファームウェア</x:t>
  </x:si>
  <x:si>
    <x:t xml:space="preserve">51</x:t>
  </x:si>
  <x:si>
    <x:t xml:space="preserve">IMU1/2を識別でき、値が更新され、I²Cエラーなし</x:t>
  </x:si>
  <x:si>
    <x:t xml:space="preserve">アドレス、ケーブル、固定応力を確認</x:t>
  </x:si>
  <x:si>
    <x:t xml:space="preserve">ペダル1/2</x:t>
  </x:si>
  <x:si>
    <x:t xml:space="preserve">ADC入力を確認</x:t>
  </x:si>
  <x:si>
    <x:t xml:space="preserve">GPIO27を入力Hi-Zに設定してペダルを接続。A0/A1電圧・ADS値を全ストロークで確認し、逆方向・途切れ・端での飽和を記録する。</x:t>
  </x:si>
  <x:si>
    <x:t xml:space="preserve">テスター、ADS読取ファームウェア</x:t>
  </x:si>
  <x:si>
    <x:t xml:space="preserve">各ペダルが独立して滑らかに変化し、0〜3.3V範囲内</x:t>
  </x:si>
  <x:si>
    <x:t xml:space="preserve">可変抵抗端子、R1/R2、A0/A1を確認</x:t>
  </x:si>
  <x:si>
    <x:t xml:space="preserve">GPIO27回路</x:t>
  </x:si>
  <x:si>
    <x:t xml:space="preserve">GPIO27の影響を確認</x:t>
  </x:si>
  <x:si>
    <x:t xml:space="preserve">必要な機能がある場合だけGPIO27をHigh/Lowへ切替え、A0/A1への影響を測る。不要なら入力Hi-Zを維持する。</x:t>
  </x:si>
  <x:si>
    <x:t xml:space="preserve">テスター、試験ファームウェア</x:t>
  </x:si>
  <x:si>
    <x:t xml:space="preserve">53</x:t>
  </x:si>
  <x:si>
    <x:t xml:space="preserve">設計どおりの変化で3.3V範囲を超えない</x:t>
  </x:si>
  <x:si>
    <x:t xml:space="preserve">用途を再確認し、問題があれば出力駆動を禁止</x:t>
  </x:si>
  <x:si>
    <x:t xml:space="preserve">H 仕上げ</x:t>
  </x:si>
  <x:si>
    <x:t xml:space="preserve">電源を切って本固定</x:t>
  </x:si>
  <x:si>
    <x:t xml:space="preserve">USBを抜き、B/C基板をスペーサーでケースへ固定する。基板裏面が金属へ接触しない高さを確保する。</x:t>
  </x:si>
  <x:si>
    <x:t xml:space="preserve">全部品配置図</x:t>
  </x:si>
  <x:si>
    <x:t xml:space="preserve">スペーサー、樹脂ねじ、ケース</x:t>
  </x:si>
  <x:si>
    <x:t xml:space="preserve">48-54</x:t>
  </x:si>
  <x:si>
    <x:t xml:space="preserve">基板反り・接触・ねじ緩みなし</x:t>
  </x:si>
  <x:si>
    <x:t xml:space="preserve">絶縁スペーサーと位置を変更</x:t>
  </x:si>
  <x:si>
    <x:t xml:space="preserve">ケーブル</x:t>
  </x:si>
  <x:si>
    <x:t xml:space="preserve">配線を固定</x:t>
  </x:si>
  <x:si>
    <x:t xml:space="preserve">IMU・ペダル・USBケーブルへストレインリリーフを設け、可動部と鋭利な縁を避ける。端子ねじを再度確認する。</x:t>
  </x:si>
  <x:si>
    <x:t xml:space="preserve">結束バンド、固定具、保護チューブ</x:t>
  </x:si>
  <x:si>
    <x:t xml:space="preserve">55</x:t>
  </x:si>
  <x:si>
    <x:t xml:space="preserve">引張・屈曲が端子やはんだ点へ伝わらない</x:t>
  </x:si>
  <x:si>
    <x:t xml:space="preserve">固定具と余長を見直す</x:t>
  </x:si>
  <x:si>
    <x:t xml:space="preserve">連続動作試験</x:t>
  </x:si>
  <x:si>
    <x:t xml:space="preserve">ケースを閉じる前に20分以上動作させ、ESP32・ADS・IMU・C6・配線の異常発熱、I²C切断、ADC飛びを監視する。</x:t>
  </x:si>
  <x:si>
    <x:t xml:space="preserve">動作ファームウェア、温度確認</x:t>
  </x:si>
  <x:si>
    <x:t xml:space="preserve">56</x:t>
  </x:si>
  <x:si>
    <x:t xml:space="preserve">20分間エラーなし。触れないほどの発熱なし</x:t>
  </x:si>
  <x:si>
    <x:t xml:space="preserve">即時電源断し該当系統を切り分け</x:t>
  </x:si>
  <x:si>
    <x:t xml:space="preserve">軽い振動・操作試験</x:t>
  </x:si>
  <x:si>
    <x:t xml:space="preserve">実使用を模したペダル操作と軽い振動を与え、通信・ADC値・固定ねじ・ケーブルを再確認する。</x:t>
  </x:si>
  <x:si>
    <x:t xml:space="preserve">動作ログ、ドライバー</x:t>
  </x:si>
  <x:si>
    <x:t xml:space="preserve">57</x:t>
  </x:si>
  <x:si>
    <x:t xml:space="preserve">信号断・リセット・機械的がたつきなし</x:t>
  </x:si>
  <x:si>
    <x:t xml:space="preserve">固定またははんだ接合を修正して再試験</x:t>
  </x:si>
  <x:si>
    <x:t xml:space="preserve">記録</x:t>
  </x:si>
  <x:si>
    <x:t xml:space="preserve">完成記録を残す</x:t>
  </x:si>
  <x:si>
    <x:t xml:space="preserve">実装写真、I²Cアドレス、ファームウェア版、ペダル最小/最大値、検査日、変更点を工程表へ記入する。</x:t>
  </x:si>
  <x:si>
    <x:t xml:space="preserve">カメラ、工程表</x:t>
  </x:si>
  <x:si>
    <x:t xml:space="preserve">58</x:t>
  </x:si>
  <x:si>
    <x:t xml:space="preserve">後日同じ構成を再現できる記録がある</x:t>
  </x:si>
  <x:si>
    <x:t xml:space="preserve">不足項目を追記</x:t>
  </x:si>
  <x:si>
    <x:t xml:space="preserve">導通・通電チェック記録</x:t>
  </x:si>
  <x:si>
    <x:t xml:space="preserve">原則としてUSBと全モジュールを外して測定する。通電測定はV01以降だけ。コンデンサーにより抵抗値が変化する場合は安定を待つ。</x:t>
  </x:si>
  <x:si>
    <x:t xml:space="preserve">ID</x:t>
  </x:si>
  <x:si>
    <x:t xml:space="preserve">種別</x:t>
  </x:si>
  <x:si>
    <x:t xml:space="preserve">プローブA</x:t>
  </x:si>
  <x:si>
    <x:t xml:space="preserve">プローブB</x:t>
  </x:si>
  <x:si>
    <x:t xml:space="preserve">期待結果</x:t>
  </x:si>
  <x:si>
    <x:t xml:space="preserve">測定条件</x:t>
  </x:si>
  <x:si>
    <x:t xml:space="preserve">結果</x:t>
  </x:si>
  <x:si>
    <x:t xml:space="preserve">測定値・所見</x:t>
  </x:si>
  <x:si>
    <x:t xml:space="preserve">修正内容</x:t>
  </x:si>
  <x:si>
    <x:t xml:space="preserve">M01</x:t>
  </x:si>
  <x:si>
    <x:t xml:space="preserve">機械</x:t>
  </x:si>
  <x:si>
    <x:t xml:space="preserve">メイン</x:t>
  </x:si>
  <x:si>
    <x:t xml:space="preserve">ADS取付方向</x:t>
  </x:si>
  <x:si>
    <x:t xml:space="preserve">回路面上・列20=VDD・列29=A3</x:t>
  </x:si>
  <x:si>
    <x:t xml:space="preserve">目視一致</x:t>
  </x:si>
  <x:si>
    <x:t xml:space="preserve">無通電</x:t>
  </x:si>
  <x:si>
    <x:t xml:space="preserve">未確認</x:t>
  </x:si>
  <x:si>
    <x:t xml:space="preserve">M02</x:t>
  </x:si>
  <x:si>
    <x:t xml:space="preserve">端子台6個</x:t>
  </x:si>
  <x:si>
    <x:t xml:space="preserve">開口は基板外向き・前方15mm以上</x:t>
  </x:si>
  <x:si>
    <x:t xml:space="preserve">目視・実測一致</x:t>
  </x:si>
  <x:si>
    <x:t xml:space="preserve">ケース固定前</x:t>
  </x:si>
  <x:si>
    <x:t xml:space="preserve">P01</x:t>
  </x:si>
  <x:si>
    <x:t xml:space="preserve">電源</x:t>
  </x:si>
  <x:si>
    <x:t xml:space="preserve">ESP32 3V3ソケット</x:t>
  </x:si>
  <x:si>
    <x:t xml:space="preserve">ADS VDDソケット</x:t>
  </x:si>
  <x:si>
    <x:t xml:space="preserve">導通</x:t>
  </x:si>
  <x:si>
    <x:t xml:space="preserve">全モジュール・USBを外す</x:t>
  </x:si>
  <x:si>
    <x:t xml:space="preserve">P02</x:t>
  </x:si>
  <x:si>
    <x:t xml:space="preserve">MPU1電源3V3</x:t>
  </x:si>
  <x:si>
    <x:t xml:space="preserve">P03</x:t>
  </x:si>
  <x:si>
    <x:t xml:space="preserve">MPU2電源3V3</x:t>
  </x:si>
  <x:si>
    <x:t xml:space="preserve">P04</x:t>
  </x:si>
  <x:si>
    <x:t xml:space="preserve">GND</x:t>
  </x:si>
  <x:si>
    <x:t xml:space="preserve">ESP32 GNDソケット</x:t>
  </x:si>
  <x:si>
    <x:t xml:space="preserve">ADS GNDソケット</x:t>
  </x:si>
  <x:si>
    <x:t xml:space="preserve">P05</x:t>
  </x:si>
  <x:si>
    <x:t xml:space="preserve">MPU1/2 GND端子</x:t>
  </x:si>
  <x:si>
    <x:t xml:space="preserve">P06</x:t>
  </x:si>
  <x:si>
    <x:t xml:space="preserve">絶縁</x:t>
  </x:si>
  <x:si>
    <x:t xml:space="preserve">3V3</x:t>
  </x:si>
  <x:si>
    <x:t xml:space="preserve">導通ブザーが鳴り続けない。抵抗がほぼ0Ωに固定されない</x:t>
  </x:si>
  <x:si>
    <x:t xml:space="preserve">コンデンサーの充電変化を待つ</x:t>
  </x:si>
  <x:si>
    <x:t xml:space="preserve">I01</x:t>
  </x:si>
  <x:si>
    <x:t xml:space="preserve">SDA</x:t>
  </x:si>
  <x:si>
    <x:t xml:space="preserve">ESP32 GPIO21</x:t>
  </x:si>
  <x:si>
    <x:t xml:space="preserve">ADS SDA</x:t>
  </x:si>
  <x:si>
    <x:t xml:space="preserve">全モジュールを外す</x:t>
  </x:si>
  <x:si>
    <x:t xml:space="preserve">I02</x:t>
  </x:si>
  <x:si>
    <x:t xml:space="preserve">MPU1/2 SDA端子</x:t>
  </x:si>
  <x:si>
    <x:t xml:space="preserve">I03</x:t>
  </x:si>
  <x:si>
    <x:t xml:space="preserve">SCL</x:t>
  </x:si>
  <x:si>
    <x:t xml:space="preserve">ESP32 GPIO22</x:t>
  </x:si>
  <x:si>
    <x:t xml:space="preserve">ADS SCL</x:t>
  </x:si>
  <x:si>
    <x:t xml:space="preserve">I04</x:t>
  </x:si>
  <x:si>
    <x:t xml:space="preserve">MPU1/2 SCL端子</x:t>
  </x:si>
  <x:si>
    <x:t xml:space="preserve">I05</x:t>
  </x:si>
  <x:si>
    <x:t xml:space="preserve">非導通</x:t>
  </x:si>
  <x:si>
    <x:t xml:space="preserve">A01</x:t>
  </x:si>
  <x:si>
    <x:t xml:space="preserve">ADC0</x:t>
  </x:si>
  <x:si>
    <x:t xml:space="preserve">ペダル1 SIG端子</x:t>
  </x:si>
  <x:si>
    <x:t xml:space="preserve">ADS A0</x:t>
  </x:si>
  <x:si>
    <x:t xml:space="preserve">約1kΩ</x:t>
  </x:si>
  <x:si>
    <x:t xml:space="preserve">A02</x:t>
  </x:si>
  <x:si>
    <x:t xml:space="preserve">ADC1</x:t>
  </x:si>
  <x:si>
    <x:t xml:space="preserve">ペダル2 SIG端子</x:t>
  </x:si>
  <x:si>
    <x:t xml:space="preserve">ADS A1</x:t>
  </x:si>
  <x:si>
    <x:t xml:space="preserve">A03</x:t>
  </x:si>
  <x:si>
    <x:t xml:space="preserve">GPIO27</x:t>
  </x:si>
  <x:si>
    <x:t xml:space="preserve">ESP32 GPIO27</x:t>
  </x:si>
  <x:si>
    <x:t xml:space="preserve">約100kΩ</x:t>
  </x:si>
  <x:si>
    <x:t xml:space="preserve">並列経路の影響に注意</x:t>
  </x:si>
  <x:si>
    <x:t xml:space="preserve">A04</x:t>
  </x:si>
  <x:si>
    <x:t xml:space="preserve">A05</x:t>
  </x:si>
  <x:si>
    <x:t xml:space="preserve">0Ω直結ではない</x:t>
  </x:si>
  <x:si>
    <x:t xml:space="preserve">R7+R8経路で有限抵抗になる</x:t>
  </x:si>
  <x:si>
    <x:t xml:space="preserve">C01</x:t>
  </x:si>
  <x:si>
    <x:t xml:space="preserve">小基板3V3端子</x:t>
  </x:si>
  <x:si>
    <x:t xml:space="preserve">MPU1 VINソケット</x:t>
  </x:si>
  <x:si>
    <x:t xml:space="preserve">MPUを外す</x:t>
  </x:si>
  <x:si>
    <x:t xml:space="preserve">C02</x:t>
  </x:si>
  <x:si>
    <x:t xml:space="preserve">小基板GND端子</x:t>
  </x:si>
  <x:si>
    <x:t xml:space="preserve">MPU1 GNDソケット</x:t>
  </x:si>
  <x:si>
    <x:t xml:space="preserve">C03</x:t>
  </x:si>
  <x:si>
    <x:t xml:space="preserve">I²C</x:t>
  </x:si>
  <x:si>
    <x:t xml:space="preserve">小基板SDA/SCL端子</x:t>
  </x:si>
  <x:si>
    <x:t xml:space="preserve">MPU1同名ソケット</x:t>
  </x:si>
  <x:si>
    <x:t xml:space="preserve">各線導通、相互非短絡</x:t>
  </x:si>
  <x:si>
    <x:t xml:space="preserve">C04</x:t>
  </x:si>
  <x:si>
    <x:t xml:space="preserve">MPU1 3Vo/INT</x:t>
  </x:si>
  <x:si>
    <x:t xml:space="preserve">端子台4線</x:t>
  </x:si>
  <x:si>
    <x:t xml:space="preserve">すべて非導通</x:t>
  </x:si>
  <x:si>
    <x:t xml:space="preserve">C05</x:t>
  </x:si>
  <x:si>
    <x:t xml:space="preserve">MPU2 VINソケット</x:t>
  </x:si>
  <x:si>
    <x:t xml:space="preserve">C06</x:t>
  </x:si>
  <x:si>
    <x:t xml:space="preserve">MPU2 GNDソケット</x:t>
  </x:si>
  <x:si>
    <x:t xml:space="preserve">C07</x:t>
  </x:si>
  <x:si>
    <x:t xml:space="preserve">MPU2同名ソケット</x:t>
  </x:si>
  <x:si>
    <x:t xml:space="preserve">C08</x:t>
  </x:si>
  <x:si>
    <x:t xml:space="preserve">ADDR</x:t>
  </x:si>
  <x:si>
    <x:t xml:space="preserve">MPU1/2</x:t>
  </x:si>
  <x:si>
    <x:t xml:space="preserve">MPU1 ADDRジャンパー</x:t>
  </x:si>
  <x:si>
    <x:t xml:space="preserve">MPU2 ADDRジャンパー</x:t>
  </x:si>
  <x:si>
    <x:t xml:space="preserve">MPU1開放、MPU2短絡</x:t>
  </x:si>
  <x:si>
    <x:t xml:space="preserve">モジュール単体で測る</x:t>
  </x:si>
  <x:si>
    <x:t xml:space="preserve">K01</x:t>
  </x:si>
  <x:si>
    <x:t xml:space="preserve">メイン赤/黒/緑/青</x:t>
  </x:si>
  <x:si>
    <x:t xml:space="preserve">IMU1 3V3/GND/SDA/SCL</x:t>
  </x:si>
  <x:si>
    <x:t xml:space="preserve">色ごと導通、色間非短絡</x:t>
  </x:si>
  <x:si>
    <x:t xml:space="preserve">両端を端子台から外すと測りやすい</x:t>
  </x:si>
  <x:si>
    <x:t xml:space="preserve">K02</x:t>
  </x:si>
  <x:si>
    <x:t xml:space="preserve">IMU2 3V3/GND/SDA/SCL</x:t>
  </x:si>
  <x:si>
    <x:t xml:space="preserve">V01</x:t>
  </x:si>
  <x:si>
    <x:t xml:space="preserve">通電</x:t>
  </x:si>
  <x:si>
    <x:t xml:space="preserve">DC 3.2〜3.4V目安</x:t>
  </x:si>
  <x:si>
    <x:t xml:space="preserve">ESP32のみから段階追加</x:t>
  </x:si>
  <x:si>
    <x:t xml:space="preserve">V02</x:t>
  </x:si>
  <x:si>
    <x:t xml:space="preserve">I²Cスキャン</x:t>
  </x:si>
  <x:si>
    <x:t xml:space="preserve">0x48、0x68、0x69</x:t>
  </x:si>
  <x:si>
    <x:t xml:space="preserve">全モジュール接続後</x:t>
  </x:si>
</x:sst>
</file>

<file path=xl/styles.xml><?xml version="1.0" encoding="utf-8"?>
<x:styleSheet xmlns:x="http://schemas.openxmlformats.org/spreadsheetml/2006/main">
  <x:numFmts count="1">
    <x:numFmt numFmtId="164" formatCode="0.0"/>
  </x:numFmts>
  <x:fonts count="9">
    <x:font>
      <x:sz val="11"/>
      <x:name val="Carlito"/>
    </x:font>
    <x:font>
      <x:sz val="10"/>
      <x:color rgb="FF20364C"/>
      <x:name val="Arial"/>
      <x:family val="2"/>
    </x:font>
    <x:font>
      <x:b/>
      <x:sz val="16"/>
      <x:color rgb="FF20364C"/>
      <x:name val="Arial"/>
      <x:family val="2"/>
    </x:font>
    <x:font>
      <x:i/>
      <x:sz val="10"/>
      <x:color rgb="FF566A7D"/>
      <x:name val="Arial"/>
      <x:family val="2"/>
    </x:font>
    <x:font>
      <x:b/>
      <x:sz val="10"/>
      <x:color rgb="FF20364C"/>
      <x:name val="Arial"/>
      <x:family val="2"/>
    </x:font>
    <x:font>
      <x:b/>
      <x:sz val="11"/>
      <x:color rgb="FF20364C"/>
      <x:name val="Arial"/>
      <x:family val="2"/>
    </x:font>
    <x:font>
      <x:sz val="10"/>
      <x:color rgb="FF57451A"/>
      <x:name val="Arial"/>
      <x:family val="2"/>
    </x:font>
    <x:font>
      <x:b/>
      <x:sz val="10"/>
      <x:color rgb="FFFFFFFF"/>
      <x:name val="Arial"/>
      <x:family val="2"/>
    </x:font>
    <x:font>
      <x:sz val="10"/>
      <x:color rgb="FF20364C"/>
      <x:name val="Arial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DDE7EF"/>
      </x:patternFill>
    </x:fill>
    <x:fill>
      <x:patternFill patternType="solid">
        <x:fgColor rgb="FFF7F9FB"/>
      </x:patternFill>
    </x:fill>
    <x:fill>
      <x:patternFill patternType="solid">
        <x:fgColor rgb="FFFFF5D9"/>
      </x:patternFill>
    </x:fill>
    <x:fill>
      <x:patternFill patternType="solid">
        <x:fgColor rgb="FF234B6B"/>
      </x:patternFill>
    </x:fill>
    <x:fill>
      <x:patternFill patternType="solid">
        <x:fgColor rgb="FF557A6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234B6B"/>
      </x:bottom>
      <x:diagonal/>
    </x:border>
    <x:border>
      <x:left/>
      <x:right/>
      <x:top/>
      <x:bottom style="medium">
        <x:color rgb="FF557A68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Font="1" applyAlignment="1">
      <x:alignment vertical="center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4" fillId="2" borderId="0" xfId="0" applyFont="1" applyFill="1" applyAlignment="1">
      <x:alignment vertical="center"/>
    </x:xf>
    <x:xf numFmtId="0" fontId="5" fillId="3" borderId="0" xfId="0" applyFont="1" applyFill="1" applyAlignment="1">
      <x:alignment horizontal="right" vertical="center"/>
    </x:xf>
    <x:xf numFmtId="164" fontId="5" fillId="3" borderId="0" xfId="0" applyNumberFormat="1" applyFont="1" applyFill="1" applyAlignment="1">
      <x:alignment horizontal="right" vertical="center"/>
    </x:xf>
    <x:xf numFmtId="9" fontId="5" fillId="3" borderId="0" xfId="0" applyNumberFormat="1" applyFont="1" applyFill="1" applyAlignment="1">
      <x:alignment horizontal="right" vertical="center"/>
    </x:xf>
    <x:xf numFmtId="0" fontId="7" fillId="5" borderId="0" xfId="0" applyFont="1" applyFill="1" applyAlignment="1">
      <x:alignment horizontal="center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" fillId="0" borderId="0" xfId="0" applyFont="1" applyAlignment="1">
      <x:alignment horizontal="right" vertical="center" wrapText="1"/>
    </x:xf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vertical="center"/>
    </x:xf>
    <x:xf numFmtId="0" fontId="7" fillId="6" borderId="0" xfId="0" applyFont="1" applyFill="1" applyAlignment="1">
      <x:alignment horizontal="center" vertical="center"/>
    </x:xf>
    <x:xf numFmtId="0" fontId="8" fillId="0" borderId="0" xfId="0" applyFont="1" applyAlignment="1">
      <x:alignment vertical="center" wrapText="1"/>
    </x:xf>
    <x:xf numFmtId="0" fontId="3" fillId="0" borderId="0" xfId="0" applyFont="1" applyAlignment="1">
      <x:alignment vertical="center"/>
    </x:xf>
    <x:xf numFmtId="0" fontId="1" fillId="0" borderId="0" xfId="0" applyFont="1" applyAlignment="1">
      <x:alignment vertical="center"/>
    </x:xf>
    <x:xf numFmtId="0" fontId="6" fillId="4" borderId="0" xfId="0" applyFont="1" applyFill="1" applyAlignment="1">
      <x:alignment vertical="center" wrapText="1"/>
    </x:xf>
  </x:cellXfs>
  <x:cellStyles count="1">
    <x:cellStyle name="Normal" xfId="0"/>
  </x:cellStyles>
  <x:dxfs count="6">
    <x:dxf>
      <x:font>
        <x:b/>
        <x:color rgb="FFA33D32"/>
      </x:font>
      <x:fill>
        <x:patternFill>
          <x:bgColor rgb="FFFBE0DC"/>
        </x:patternFill>
      </x:fill>
    </x:dxf>
    <x:dxf>
      <x:font>
        <x:b/>
        <x:color rgb="FF27613A"/>
      </x:font>
      <x:fill>
        <x:patternFill>
          <x:bgColor rgb="FFDDEFE3"/>
        </x:patternFill>
      </x:fill>
    </x:dxf>
    <x:dxf>
      <x:font>
        <x:color rgb="FF555555"/>
      </x:font>
      <x:fill>
        <x:patternFill>
          <x:bgColor rgb="FFE8E8E8"/>
        </x:patternFill>
      </x:fill>
    </x:dxf>
    <x:dxf>
      <x:font>
        <x:b/>
        <x:color rgb="FFA33D32"/>
      </x:font>
      <x:fill>
        <x:patternFill>
          <x:bgColor rgb="FFFBE0DC"/>
        </x:patternFill>
      </x:fill>
    </x:dxf>
    <x:dxf>
      <x:font>
        <x:b/>
        <x:color rgb="FF7A5510"/>
      </x:font>
      <x:fill>
        <x:patternFill>
          <x:bgColor rgb="FFFFF1C7"/>
        </x:patternFill>
      </x:fill>
    </x:dxf>
    <x:dxf>
      <x:font>
        <x:b/>
        <x:color rgb="FF27613A"/>
      </x:font>
      <x:fill>
        <x:patternFill>
          <x:bgColor rgb="FFDDEF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a5d043461d4c2c" /><Relationship Type="http://schemas.openxmlformats.org/officeDocument/2006/relationships/theme" Target="/xl/theme/theme1.xml" Id="Rb22f73db395d4ce5" /><Relationship Type="http://schemas.openxmlformats.org/officeDocument/2006/relationships/sharedStrings" Target="/xl/sharedStrings.xml" Id="R122abe2a01f54682" /><Relationship Type="http://schemas.openxmlformats.org/officeDocument/2006/relationships/worksheet" Target="/xl/worksheets/sheet1.xml" Id="R743f1054b1434feb" /><Relationship Type="http://schemas.openxmlformats.org/officeDocument/2006/relationships/worksheet" Target="/xl/worksheets/sheet2.xml" Id="Radcd38d510094afa" /></Relationships>
</file>

<file path=xl/tables/table1.xml><?xml version="1.0" encoding="utf-8"?>
<x:table xmlns:x="http://schemas.openxmlformats.org/spreadsheetml/2006/main" id="1" name="AssemblySteps" displayName="AssemblySteps" ref="A8:N67" totalsRowShown="0">
  <x:tableColumns count="14">
    <x:tableColumn id="1" name="No."/>
    <x:tableColumn id="2" name="工程"/>
    <x:tableColumn id="3" name="対象"/>
    <x:tableColumn id="4" name="作業"/>
    <x:tableColumn id="5" name="詳細手順"/>
    <x:tableColumn id="6" name="使用図"/>
    <x:tableColumn id="7" name="予定分"/>
    <x:tableColumn id="8" name="工具・材料"/>
    <x:tableColumn id="9" name="前提工程"/>
    <x:tableColumn id="10" name="合格条件"/>
    <x:tableColumn id="11" name="異常時の対応"/>
    <x:tableColumn id="12" name="状態"/>
    <x:tableColumn id="13" name="実施日"/>
    <x:tableColumn id="14" name="メモ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inuityChecks" displayName="ContinuityChecks" ref="A5:J35" totalsRowShown="0">
  <x:tableColumns count="10">
    <x:tableColumn id="1" name="ID"/>
    <x:tableColumn id="2" name="種別"/>
    <x:tableColumn id="3" name="対象"/>
    <x:tableColumn id="4" name="プローブA"/>
    <x:tableColumn id="5" name="プローブB"/>
    <x:tableColumn id="6" name="期待結果"/>
    <x:tableColumn id="7" name="測定条件"/>
    <x:tableColumn id="8" name="結果"/>
    <x:tableColumn id="9" name="測定値・所見"/>
    <x:tableColumn id="10" name="修正内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10fce438e94ba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d605d6024e94dc0" /></Relationships>
</file>

<file path=xl/worksheets/sheet1.xml><?xml version="1.0" encoding="utf-8"?>
<x:worksheet xmlns:x="http://schemas.openxmlformats.org/spreadsheetml/2006/main">
  <x:sheetPr>
    <x:tabColor rgb="FF234B6B"/>
  </x:sheetPr>
  <x:sheetViews>
    <x:sheetView showGridLines="0" workbookViewId="0">
      <x:pane ySplit="8" topLeftCell="A9" activePane="bottomLeft" state="frozen"/>
    </x:sheetView>
  </x:sheetViews>
  <x:sheetFormatPr baseColWidth="10" defaultColWidth="8.83203125" defaultRowHeight="14"/>
  <x:cols>
    <x:col min="1" max="1" width="5.1640625" customWidth="1"/>
    <x:col min="2" max="2" width="11.6640625" customWidth="1"/>
    <x:col min="3" max="3" width="13.33203125" customWidth="1"/>
    <x:col min="4" max="4" width="18.83203125" customWidth="1"/>
    <x:col min="5" max="5" width="47.83203125" customWidth="1"/>
    <x:col min="6" max="6" width="23.33203125" customWidth="1"/>
    <x:col min="7" max="7" width="7.1640625" customWidth="1"/>
    <x:col min="8" max="8" width="23.33203125" customWidth="1"/>
    <x:col min="9" max="9" width="10.5" customWidth="1"/>
    <x:col min="10" max="10" width="34.5" customWidth="1"/>
    <x:col min="11" max="11" width="31.1640625" customWidth="1"/>
    <x:col min="12" max="12" width="9.1640625" customWidth="1"/>
    <x:col min="13" max="13" width="10.5" customWidth="1"/>
    <x:col min="14" max="14" width="21.1640625" customWidth="1"/>
  </x:cols>
  <x:sheetData>
    <x:row r="2" ht="20">
      <x:c r="A2" s="3" t="s">
        <x:v>0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16" t="str">
        <x:v>Rev.8：Bタイプ基板の電源分岐を分散。3V3行20・GND行22、C6移設、I²C分配線を被覆線へ変更。入力済み進捗を引継ぎ、変更対象だけ再作業。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</x:row>
    <x:row r="4" ht="28" customHeight="1">
      <x:c r="A4" s="4" t="s">
        <x:v>1</x:v>
      </x:c>
      <x:c r="B4" s="5">
        <x:v>59</x:v>
      </x:c>
      <x:c r="C4" s="1"/>
      <x:c r="D4" s="4" t="s">
        <x:v>2</x:v>
      </x:c>
      <x:c r="E4" s="6" t="n">
        <x:f>SUM(G9:G67)/60</x:f>
        <x:v>23.083333333333332</x:v>
      </x:c>
      <x:c r="F4" s="1"/>
      <x:c r="G4" s="4" t="s">
        <x:v>3</x:v>
      </x:c>
      <x:c r="H4" s="5" t="n">
        <x:f>COUNTIF(L9:L67,"完了")</x:f>
        <x:v>13</x:v>
      </x:c>
      <x:c r="I4" s="1"/>
      <x:c r="J4" s="4" t="s">
        <x:v>4</x:v>
      </x:c>
      <x:c r="K4" s="7" t="n">
        <x:f>H4/B4</x:f>
        <x:v>0.22033898305084745</x:v>
      </x:c>
      <x:c r="L4" s="1"/>
      <x:c r="M4" s="4" t="s">
        <x:v>5</x:v>
      </x:c>
      <x:c r="N4" s="6" t="n">
        <x:f>SUMIF(L9:L67,"&lt;&gt;完了",G9:G67)/60</x:f>
        <x:v>18.666666666666668</x:v>
      </x:c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34" customHeight="1">
      <x:c r="A6" s="18" t="s">
        <x:v>6</x:v>
      </x:c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</x:row>
    <x:row r="7" ht="34" customHeight="1">
      <x:c r="A7" s="18" t="s">
        <x:v>7</x:v>
      </x:c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</x:row>
    <x:row r="8" ht="30" customHeight="1">
      <x:c r="A8" s="8" t="s">
        <x:v>8</x:v>
      </x:c>
      <x:c r="B8" s="8" t="s">
        <x:v>9</x:v>
      </x:c>
      <x:c r="C8" s="8" t="s">
        <x:v>10</x:v>
      </x:c>
      <x:c r="D8" s="8" t="s">
        <x:v>11</x:v>
      </x:c>
      <x:c r="E8" s="8" t="s">
        <x:v>12</x:v>
      </x:c>
      <x:c r="F8" s="8" t="s">
        <x:v>13</x:v>
      </x:c>
      <x:c r="G8" s="8" t="s">
        <x:v>14</x:v>
      </x:c>
      <x:c r="H8" s="8" t="s">
        <x:v>15</x:v>
      </x:c>
      <x:c r="I8" s="8" t="s">
        <x:v>16</x:v>
      </x:c>
      <x:c r="J8" s="8" t="s">
        <x:v>17</x:v>
      </x:c>
      <x:c r="K8" s="8" t="s">
        <x:v>18</x:v>
      </x:c>
      <x:c r="L8" s="8" t="s">
        <x:v>19</x:v>
      </x:c>
      <x:c r="M8" s="8" t="s">
        <x:v>20</x:v>
      </x:c>
      <x:c r="N8" s="8" t="s">
        <x:v>21</x:v>
      </x:c>
    </x:row>
    <x:row r="9" ht="68" customHeight="1">
      <x:c r="A9" s="10">
        <x:v>1</x:v>
      </x:c>
      <x:c r="B9" s="9" t="s">
        <x:v>22</x:v>
      </x:c>
      <x:c r="C9" s="9" t="s">
        <x:v>23</x:v>
      </x:c>
      <x:c r="D9" s="9" t="s">
        <x:v>24</x:v>
      </x:c>
      <x:c r="E9" s="9" t="s">
        <x:v>25</x:v>
      </x:c>
      <x:c r="F9" s="9" t="str">
        <x:v>hardware/Rev8/統合電気回路図.svg ほか</x:v>
      </x:c>
      <x:c r="G9" s="11">
        <x:v>10</x:v>
      </x:c>
      <x:c r="H9" s="9" t="s">
        <x:v>26</x:v>
      </x:c>
      <x:c r="I9" s="9" t="s">
        <x:v>27</x:v>
      </x:c>
      <x:c r="J9" s="9" t="str">
        <x:v>すべてRev.8で、IMU図はCタイプ版になっている</x:v>
      </x:c>
      <x:c r="K9" s="9" t="str">
        <x:v>版が違えば作業を開始せずRev.8へ統一</x:v>
      </x:c>
      <x:c r="L9" s="10" t="s">
        <x:v>28</x:v>
      </x:c>
      <x:c r="M9" s="10"/>
      <x:c r="N9" s="9"/>
    </x:row>
    <x:row r="10" ht="68" customHeight="1">
      <x:c r="A10" s="10">
        <x:v>2</x:v>
      </x:c>
      <x:c r="B10" s="9" t="s">
        <x:v>22</x:v>
      </x:c>
      <x:c r="C10" s="9" t="s">
        <x:v>23</x:v>
      </x:c>
      <x:c r="D10" s="9" t="s">
        <x:v>29</x:v>
      </x:c>
      <x:c r="E10" s="9" t="s">
        <x:v>30</x:v>
      </x:c>
      <x:c r="F10" s="9" t="s">
        <x:v>31</x:v>
      </x:c>
      <x:c r="G10" s="11">
        <x:v>20</x:v>
      </x:c>
      <x:c r="H10" s="9" t="s">
        <x:v>32</x:v>
      </x:c>
      <x:c r="I10" s="9" t="s">
        <x:v>33</x:v>
      </x:c>
      <x:c r="J10" s="9" t="s">
        <x:v>34</x:v>
      </x:c>
      <x:c r="K10" s="9" t="s">
        <x:v>35</x:v>
      </x:c>
      <x:c r="L10" s="10" t="s">
        <x:v>28</x:v>
      </x:c>
      <x:c r="M10" s="10"/>
      <x:c r="N10" s="9"/>
    </x:row>
    <x:row r="11" ht="68" customHeight="1">
      <x:c r="A11" s="10">
        <x:v>3</x:v>
      </x:c>
      <x:c r="B11" s="9" t="s">
        <x:v>22</x:v>
      </x:c>
      <x:c r="C11" s="9" t="s">
        <x:v>36</x:v>
      </x:c>
      <x:c r="D11" s="9" t="s">
        <x:v>37</x:v>
      </x:c>
      <x:c r="E11" s="9" t="s">
        <x:v>38</x:v>
      </x:c>
      <x:c r="F11" s="9" t="s">
        <x:v>39</x:v>
      </x:c>
      <x:c r="G11" s="11">
        <x:v>15</x:v>
      </x:c>
      <x:c r="H11" s="9" t="s">
        <x:v>40</x:v>
      </x:c>
      <x:c r="I11" s="9" t="s">
        <x:v>41</x:v>
      </x:c>
      <x:c r="J11" s="9" t="s">
        <x:v>42</x:v>
      </x:c>
      <x:c r="K11" s="9" t="s">
        <x:v>43</x:v>
      </x:c>
      <x:c r="L11" s="10" t="s">
        <x:v>28</x:v>
      </x:c>
      <x:c r="M11" s="10"/>
      <x:c r="N11" s="9"/>
    </x:row>
    <x:row r="12" ht="68" customHeight="1">
      <x:c r="A12" s="10">
        <x:v>4</x:v>
      </x:c>
      <x:c r="B12" s="9" t="s">
        <x:v>22</x:v>
      </x:c>
      <x:c r="C12" s="9" t="s">
        <x:v>23</x:v>
      </x:c>
      <x:c r="D12" s="9" t="s">
        <x:v>44</x:v>
      </x:c>
      <x:c r="E12" s="9" t="s">
        <x:v>45</x:v>
      </x:c>
      <x:c r="F12" s="9" t="s">
        <x:v>46</x:v>
      </x:c>
      <x:c r="G12" s="11">
        <x:v>10</x:v>
      </x:c>
      <x:c r="H12" s="9" t="s">
        <x:v>47</x:v>
      </x:c>
      <x:c r="I12" s="9" t="s">
        <x:v>41</x:v>
      </x:c>
      <x:c r="J12" s="9" t="s">
        <x:v>48</x:v>
      </x:c>
      <x:c r="K12" s="9" t="s">
        <x:v>49</x:v>
      </x:c>
      <x:c r="L12" s="10" t="s">
        <x:v>50</x:v>
      </x:c>
      <x:c r="M12" s="10"/>
      <x:c r="N12" s="9"/>
    </x:row>
    <x:row r="13" ht="68" customHeight="1">
      <x:c r="A13" s="10">
        <x:v>5</x:v>
      </x:c>
      <x:c r="B13" s="9" t="s">
        <x:v>22</x:v>
      </x:c>
      <x:c r="C13" s="9" t="s">
        <x:v>51</x:v>
      </x:c>
      <x:c r="D13" s="9" t="s">
        <x:v>52</x:v>
      </x:c>
      <x:c r="E13" s="9" t="s">
        <x:v>53</x:v>
      </x:c>
      <x:c r="F13" s="9" t="s">
        <x:v>54</x:v>
      </x:c>
      <x:c r="G13" s="11">
        <x:v>25</x:v>
      </x:c>
      <x:c r="H13" s="9" t="s">
        <x:v>55</x:v>
      </x:c>
      <x:c r="I13" s="9" t="s">
        <x:v>56</x:v>
      </x:c>
      <x:c r="J13" s="9" t="s">
        <x:v>57</x:v>
      </x:c>
      <x:c r="K13" s="9" t="s">
        <x:v>58</x:v>
      </x:c>
      <x:c r="L13" s="10" t="s">
        <x:v>28</x:v>
      </x:c>
      <x:c r="M13" s="10"/>
      <x:c r="N13" s="9"/>
    </x:row>
    <x:row r="14" ht="68" customHeight="1">
      <x:c r="A14" s="10">
        <x:v>6</x:v>
      </x:c>
      <x:c r="B14" s="9" t="s">
        <x:v>22</x:v>
      </x:c>
      <x:c r="C14" s="9" t="s">
        <x:v>59</x:v>
      </x:c>
      <x:c r="D14" s="9" t="s">
        <x:v>52</x:v>
      </x:c>
      <x:c r="E14" s="9" t="s">
        <x:v>60</x:v>
      </x:c>
      <x:c r="F14" s="9" t="s">
        <x:v>61</x:v>
      </x:c>
      <x:c r="G14" s="11">
        <x:v>20</x:v>
      </x:c>
      <x:c r="H14" s="9" t="s">
        <x:v>62</x:v>
      </x:c>
      <x:c r="I14" s="9" t="s">
        <x:v>56</x:v>
      </x:c>
      <x:c r="J14" s="9" t="s">
        <x:v>63</x:v>
      </x:c>
      <x:c r="K14" s="9" t="s">
        <x:v>64</x:v>
      </x:c>
      <x:c r="L14" s="10" t="s">
        <x:v>50</x:v>
      </x:c>
      <x:c r="M14" s="10"/>
      <x:c r="N14" s="9"/>
    </x:row>
    <x:row r="15" ht="68" customHeight="1">
      <x:c r="A15" s="10">
        <x:v>7</x:v>
      </x:c>
      <x:c r="B15" s="9" t="s">
        <x:v>22</x:v>
      </x:c>
      <x:c r="C15" s="9" t="s">
        <x:v>59</x:v>
      </x:c>
      <x:c r="D15" s="9" t="s">
        <x:v>65</x:v>
      </x:c>
      <x:c r="E15" s="9" t="s">
        <x:v>66</x:v>
      </x:c>
      <x:c r="F15" s="9" t="s">
        <x:v>61</x:v>
      </x:c>
      <x:c r="G15" s="11">
        <x:v>30</x:v>
      </x:c>
      <x:c r="H15" s="9" t="s">
        <x:v>67</x:v>
      </x:c>
      <x:c r="I15" s="9" t="s">
        <x:v>68</x:v>
      </x:c>
      <x:c r="J15" s="9" t="s">
        <x:v>69</x:v>
      </x:c>
      <x:c r="K15" s="9" t="s">
        <x:v>70</x:v>
      </x:c>
      <x:c r="L15" s="10" t="s">
        <x:v>50</x:v>
      </x:c>
      <x:c r="M15" s="10"/>
      <x:c r="N15" s="9"/>
    </x:row>
    <x:row r="16" ht="68" customHeight="1">
      <x:c r="A16" s="10">
        <x:v>8</x:v>
      </x:c>
      <x:c r="B16" s="9" t="s">
        <x:v>22</x:v>
      </x:c>
      <x:c r="C16" s="9" t="s">
        <x:v>71</x:v>
      </x:c>
      <x:c r="D16" s="9" t="s">
        <x:v>72</x:v>
      </x:c>
      <x:c r="E16" s="9" t="s">
        <x:v>73</x:v>
      </x:c>
      <x:c r="F16" s="9" t="s">
        <x:v>74</x:v>
      </x:c>
      <x:c r="G16" s="11">
        <x:v>20</x:v>
      </x:c>
      <x:c r="H16" s="9" t="s">
        <x:v>75</x:v>
      </x:c>
      <x:c r="I16" s="9" t="s">
        <x:v>76</x:v>
      </x:c>
      <x:c r="J16" s="9" t="s">
        <x:v>77</x:v>
      </x:c>
      <x:c r="K16" s="9" t="s">
        <x:v>78</x:v>
      </x:c>
      <x:c r="L16" s="10" t="s">
        <x:v>50</x:v>
      </x:c>
      <x:c r="M16" s="10"/>
      <x:c r="N16" s="9"/>
    </x:row>
    <x:row r="17" ht="82" customHeight="1">
      <x:c r="A17" s="10">
        <x:v>9</x:v>
      </x:c>
      <x:c r="B17" s="9" t="s">
        <x:v>22</x:v>
      </x:c>
      <x:c r="C17" s="9" t="s">
        <x:v>79</x:v>
      </x:c>
      <x:c r="D17" s="9" t="str">
        <x:v>裸線と被覆線を準備</x:v>
      </x:c>
      <x:c r="E17" s="9" t="str">
        <x:v>横レール2本とGND縦線4本は0.5mmスズメッキ線。縦線は穴中心間5.08mm。残り31本はAWG24被覆線。図の経路より少し長く切り、両端だけ剥く。</x:v>
      </x:c>
      <x:c r="F17" s="9" t="s">
        <x:v>80</x:v>
      </x:c>
      <x:c r="G17" s="11">
        <x:v>25</x:v>
      </x:c>
      <x:c r="H17" s="9" t="s">
        <x:v>81</x:v>
      </x:c>
      <x:c r="I17" s="9" t="s">
        <x:v>82</x:v>
      </x:c>
      <x:c r="J17" s="9" t="str">
        <x:v>線材が図と一致。芯線に傷なし。被覆線の途中は裸にしない</x:v>
      </x:c>
      <x:c r="K17" s="9" t="s">
        <x:v>83</x:v>
      </x:c>
      <x:c r="L17" s="10" t="s">
        <x:v>50</x:v>
      </x:c>
      <x:c r="M17" s="10"/>
      <x:c r="N17" s="9"/>
    </x:row>
    <x:row r="18" ht="68" customHeight="1">
      <x:c r="A18" s="10">
        <x:v>10</x:v>
      </x:c>
      <x:c r="B18" s="9" t="s">
        <x:v>84</x:v>
      </x:c>
      <x:c r="C18" s="9" t="s">
        <x:v>85</x:v>
      </x:c>
      <x:c r="D18" s="9" t="s">
        <x:v>86</x:v>
      </x:c>
      <x:c r="E18" s="9" t="s">
        <x:v>87</x:v>
      </x:c>
      <x:c r="F18" s="9" t="s">
        <x:v>54</x:v>
      </x:c>
      <x:c r="G18" s="11">
        <x:v>15</x:v>
      </x:c>
      <x:c r="H18" s="9" t="s">
        <x:v>88</x:v>
      </x:c>
      <x:c r="I18" s="9" t="s">
        <x:v>89</x:v>
      </x:c>
      <x:c r="J18" s="9" t="s">
        <x:v>90</x:v>
      </x:c>
      <x:c r="K18" s="9" t="s">
        <x:v>91</x:v>
      </x:c>
      <x:c r="L18" s="10" t="s">
        <x:v>28</x:v>
      </x:c>
      <x:c r="M18" s="10"/>
      <x:c r="N18" s="9"/>
    </x:row>
    <x:row r="19" ht="68" customHeight="1">
      <x:c r="A19" s="10">
        <x:v>11</x:v>
      </x:c>
      <x:c r="B19" s="9" t="s">
        <x:v>84</x:v>
      </x:c>
      <x:c r="C19" s="9" t="s">
        <x:v>85</x:v>
      </x:c>
      <x:c r="D19" s="9" t="s">
        <x:v>92</x:v>
      </x:c>
      <x:c r="E19" s="9" t="s">
        <x:v>93</x:v>
      </x:c>
      <x:c r="F19" s="9" t="s">
        <x:v>54</x:v>
      </x:c>
      <x:c r="G19" s="11">
        <x:v>15</x:v>
      </x:c>
      <x:c r="H19" s="9" t="s">
        <x:v>94</x:v>
      </x:c>
      <x:c r="I19" s="9" t="s">
        <x:v>95</x:v>
      </x:c>
      <x:c r="J19" s="9" t="s">
        <x:v>96</x:v>
      </x:c>
      <x:c r="K19" s="9" t="s">
        <x:v>97</x:v>
      </x:c>
      <x:c r="L19" s="10" t="s">
        <x:v>28</x:v>
      </x:c>
      <x:c r="M19" s="10"/>
      <x:c r="N19" s="9"/>
    </x:row>
    <x:row r="20" ht="68" customHeight="1">
      <x:c r="A20" s="10">
        <x:v>12</x:v>
      </x:c>
      <x:c r="B20" s="9" t="s">
        <x:v>84</x:v>
      </x:c>
      <x:c r="C20" s="9" t="s">
        <x:v>85</x:v>
      </x:c>
      <x:c r="D20" s="9" t="s">
        <x:v>98</x:v>
      </x:c>
      <x:c r="E20" s="9" t="s">
        <x:v>99</x:v>
      </x:c>
      <x:c r="F20" s="9" t="s">
        <x:v>54</x:v>
      </x:c>
      <x:c r="G20" s="11">
        <x:v>15</x:v>
      </x:c>
      <x:c r="H20" s="9" t="s">
        <x:v>100</x:v>
      </x:c>
      <x:c r="I20" s="9" t="s">
        <x:v>101</x:v>
      </x:c>
      <x:c r="J20" s="9" t="s">
        <x:v>102</x:v>
      </x:c>
      <x:c r="K20" s="9" t="s">
        <x:v>103</x:v>
      </x:c>
      <x:c r="L20" s="10" t="s">
        <x:v>28</x:v>
      </x:c>
      <x:c r="M20" s="10"/>
      <x:c r="N20" s="9"/>
    </x:row>
    <x:row r="21" ht="68" customHeight="1">
      <x:c r="A21" s="10">
        <x:v>13</x:v>
      </x:c>
      <x:c r="B21" s="9" t="s">
        <x:v>84</x:v>
      </x:c>
      <x:c r="C21" s="9" t="s">
        <x:v>85</x:v>
      </x:c>
      <x:c r="D21" s="9" t="s">
        <x:v>104</x:v>
      </x:c>
      <x:c r="E21" s="9" t="s">
        <x:v>105</x:v>
      </x:c>
      <x:c r="F21" s="9" t="s">
        <x:v>106</x:v>
      </x:c>
      <x:c r="G21" s="11">
        <x:v>20</x:v>
      </x:c>
      <x:c r="H21" s="9" t="s">
        <x:v>107</x:v>
      </x:c>
      <x:c r="I21" s="9" t="s">
        <x:v>108</x:v>
      </x:c>
      <x:c r="J21" s="9" t="s">
        <x:v>109</x:v>
      </x:c>
      <x:c r="K21" s="9" t="s">
        <x:v>110</x:v>
      </x:c>
      <x:c r="L21" s="10" t="s">
        <x:v>28</x:v>
      </x:c>
      <x:c r="M21" s="10"/>
      <x:c r="N21" s="9"/>
    </x:row>
    <x:row r="22" ht="68" customHeight="1">
      <x:c r="A22" s="10">
        <x:v>14</x:v>
      </x:c>
      <x:c r="B22" s="9" t="s">
        <x:v>84</x:v>
      </x:c>
      <x:c r="C22" s="9" t="s">
        <x:v>85</x:v>
      </x:c>
      <x:c r="D22" s="9" t="s">
        <x:v>111</x:v>
      </x:c>
      <x:c r="E22" s="9" t="s">
        <x:v>112</x:v>
      </x:c>
      <x:c r="F22" s="9" t="s">
        <x:v>54</x:v>
      </x:c>
      <x:c r="G22" s="11">
        <x:v>25</x:v>
      </x:c>
      <x:c r="H22" s="9" t="s">
        <x:v>113</x:v>
      </x:c>
      <x:c r="I22" s="9" t="s">
        <x:v>114</x:v>
      </x:c>
      <x:c r="J22" s="9" t="s">
        <x:v>115</x:v>
      </x:c>
      <x:c r="K22" s="9" t="s">
        <x:v>116</x:v>
      </x:c>
      <x:c r="L22" s="10" t="s">
        <x:v>28</x:v>
      </x:c>
      <x:c r="M22" s="10"/>
      <x:c r="N22" s="9"/>
    </x:row>
    <x:row r="23" ht="68" customHeight="1">
      <x:c r="A23" s="10">
        <x:v>15</x:v>
      </x:c>
      <x:c r="B23" s="9" t="s">
        <x:v>84</x:v>
      </x:c>
      <x:c r="C23" s="9" t="s">
        <x:v>117</x:v>
      </x:c>
      <x:c r="D23" s="9" t="s">
        <x:v>118</x:v>
      </x:c>
      <x:c r="E23" s="9" t="s">
        <x:v>119</x:v>
      </x:c>
      <x:c r="F23" s="9" t="s">
        <x:v>54</x:v>
      </x:c>
      <x:c r="G23" s="11">
        <x:v>25</x:v>
      </x:c>
      <x:c r="H23" s="9" t="s">
        <x:v>120</x:v>
      </x:c>
      <x:c r="I23" s="9" t="s">
        <x:v>121</x:v>
      </x:c>
      <x:c r="J23" s="9" t="s">
        <x:v>122</x:v>
      </x:c>
      <x:c r="K23" s="9" t="s">
        <x:v>123</x:v>
      </x:c>
      <x:c r="L23" s="10" t="s">
        <x:v>28</x:v>
      </x:c>
      <x:c r="M23" s="10"/>
      <x:c r="N23" s="9"/>
    </x:row>
    <x:row r="24" ht="68" customHeight="1">
      <x:c r="A24" s="10">
        <x:v>16</x:v>
      </x:c>
      <x:c r="B24" s="9" t="s">
        <x:v>84</x:v>
      </x:c>
      <x:c r="C24" s="9" t="s">
        <x:v>85</x:v>
      </x:c>
      <x:c r="D24" s="9" t="s">
        <x:v>124</x:v>
      </x:c>
      <x:c r="E24" s="9" t="s">
        <x:v>125</x:v>
      </x:c>
      <x:c r="F24" s="9" t="s">
        <x:v>54</x:v>
      </x:c>
      <x:c r="G24" s="11">
        <x:v>30</x:v>
      </x:c>
      <x:c r="H24" s="9" t="s">
        <x:v>126</x:v>
      </x:c>
      <x:c r="I24" s="9" t="s">
        <x:v>127</x:v>
      </x:c>
      <x:c r="J24" s="9" t="s">
        <x:v>128</x:v>
      </x:c>
      <x:c r="K24" s="9" t="s">
        <x:v>129</x:v>
      </x:c>
      <x:c r="L24" s="10" t="s">
        <x:v>28</x:v>
      </x:c>
      <x:c r="M24" s="10"/>
      <x:c r="N24" s="9"/>
    </x:row>
    <x:row r="25" ht="68" customHeight="1">
      <x:c r="A25" s="10">
        <x:v>17</x:v>
      </x:c>
      <x:c r="B25" s="9" t="s">
        <x:v>84</x:v>
      </x:c>
      <x:c r="C25" s="9" t="s">
        <x:v>85</x:v>
      </x:c>
      <x:c r="D25" s="9" t="s">
        <x:v>130</x:v>
      </x:c>
      <x:c r="E25" s="9" t="s">
        <x:v>131</x:v>
      </x:c>
      <x:c r="F25" s="9" t="s">
        <x:v>54</x:v>
      </x:c>
      <x:c r="G25" s="11">
        <x:v>30</x:v>
      </x:c>
      <x:c r="H25" s="9" t="s">
        <x:v>132</x:v>
      </x:c>
      <x:c r="I25" s="9" t="s">
        <x:v>133</x:v>
      </x:c>
      <x:c r="J25" s="9" t="s">
        <x:v>134</x:v>
      </x:c>
      <x:c r="K25" s="9" t="s">
        <x:v>135</x:v>
      </x:c>
      <x:c r="L25" s="10" t="s">
        <x:v>28</x:v>
      </x:c>
      <x:c r="M25" s="10"/>
      <x:c r="N25" s="15" t="s">
        <x:v>136</x:v>
      </x:c>
    </x:row>
    <x:row r="26" ht="82" customHeight="1">
      <x:c r="A26" s="10">
        <x:v>18</x:v>
      </x:c>
      <x:c r="B26" s="9" t="s">
        <x:v>84</x:v>
      </x:c>
      <x:c r="C26" s="9" t="s">
        <x:v>85</x:v>
      </x:c>
      <x:c r="D26" s="9" t="s">
        <x:v>137</x:v>
      </x:c>
      <x:c r="E26" s="9" t="str">
        <x:v>C6は＋(19,20)、−(19,22)。脚を5.08mm間隔に成形し、横レールへ直接接続する。旧(16,20)/(16,21)のC6を残さない。切った脚が届かなければ新品へ交換。</x:v>
      </x:c>
      <x:c r="F26" s="9" t="s">
        <x:v>106</x:v>
      </x:c>
      <x:c r="G26" s="11">
        <x:v>10</x:v>
      </x:c>
      <x:c r="H26" s="9" t="s">
        <x:v>138</x:v>
      </x:c>
      <x:c r="I26" s="9" t="s">
        <x:v>139</x:v>
      </x:c>
      <x:c r="J26" s="9" t="str">
        <x:v>＋/−が図と一致。レール間をリード線で短絡しない</x:v>
      </x:c>
      <x:c r="K26" s="9" t="s">
        <x:v>140</x:v>
      </x:c>
      <x:c r="L26" s="10" t="str">
        <x:v>再作業</x:v>
      </x:c>
      <x:c r="M26" s="10"/>
      <x:c r="N26" s="9" t="str">
        <x:v>Rev.8変更対象：付け替えまたは再検査後に完了へ更新</x:v>
      </x:c>
    </x:row>
    <x:row r="27" ht="68" customHeight="1">
      <x:c r="A27" s="10">
        <x:v>19</x:v>
      </x:c>
      <x:c r="B27" s="9" t="s">
        <x:v>84</x:v>
      </x:c>
      <x:c r="C27" s="9" t="s">
        <x:v>85</x:v>
      </x:c>
      <x:c r="D27" s="9" t="s">
        <x:v>141</x:v>
      </x:c>
      <x:c r="E27" s="9" t="s">
        <x:v>142</x:v>
      </x:c>
      <x:c r="F27" s="9" t="s">
        <x:v>54</x:v>
      </x:c>
      <x:c r="G27" s="11">
        <x:v>20</x:v>
      </x:c>
      <x:c r="H27" s="9" t="s">
        <x:v>143</x:v>
      </x:c>
      <x:c r="I27" s="9" t="s">
        <x:v>144</x:v>
      </x:c>
      <x:c r="J27" s="9" t="s">
        <x:v>145</x:v>
      </x:c>
      <x:c r="K27" s="9" t="s">
        <x:v>146</x:v>
      </x:c>
      <x:c r="L27" s="10" t="s">
        <x:v>28</x:v>
      </x:c>
      <x:c r="M27" s="10"/>
      <x:c r="N27" s="9"/>
    </x:row>
    <x:row r="28" ht="82" customHeight="1">
      <x:c r="A28" s="10">
        <x:v>20</x:v>
      </x:c>
      <x:c r="B28" s="9" t="s">
        <x:v>147</x:v>
      </x:c>
      <x:c r="C28" s="9" t="s">
        <x:v>148</x:v>
      </x:c>
      <x:c r="D28" s="9" t="str">
        <x:v>電源横レール2本を敷設</x:v>
      </x:c>
      <x:c r="E28" s="9" t="str">
        <x:v>3V3は行20・列14〜30、GNDは行22・列15〜32に0.5mm裸線を敷く。間隔5.08mm。配線表の16点だけをはんだ付け。行21に横向きの裸線を置かない。I²C分配線は工程23で付ける。</x:v>
      </x:c>
      <x:c r="F28" s="9" t="str">
        <x:v>裏面① 電源・GND.svg、旧版からの付け替え手順.md</x:v>
      </x:c>
      <x:c r="G28" s="11">
        <x:v>35</x:v>
      </x:c>
      <x:c r="H28" s="9" t="s">
        <x:v>149</x:v>
      </x:c>
      <x:c r="I28" s="9" t="s">
        <x:v>150</x:v>
      </x:c>
      <x:c r="J28" s="9" t="str">
        <x:v>2レールが5.08mm離れ、指定16点で導通。相互非短絡</x:v>
      </x:c>
      <x:c r="K28" s="9" t="s">
        <x:v>151</x:v>
      </x:c>
      <x:c r="L28" s="10" t="str">
        <x:v>再作業</x:v>
      </x:c>
      <x:c r="M28" s="10"/>
      <x:c r="N28" s="9" t="str">
        <x:v>Rev.8変更対象：付け替えまたは再検査後に完了へ更新</x:v>
      </x:c>
    </x:row>
    <x:row r="29" ht="82" customHeight="1">
      <x:c r="A29" s="10">
        <x:v>21</x:v>
      </x:c>
      <x:c r="B29" s="9" t="s">
        <x:v>147</x:v>
      </x:c>
      <x:c r="C29" s="9" t="s">
        <x:v>148</x:v>
      </x:c>
      <x:c r="D29" s="9" t="str">
        <x:v>電源分岐とGND縦線を配線</x:v>
      </x:c>
      <x:c r="E29" s="9" t="str">
        <x:v>ESP電源は3V3=(15,20)、GND=(22,22)。ADS/C3からは3V3=(22,20)、GND=(16,22)。端子GND4本は裸線で行22へ、端子3V3は被覆線で行20へ。交差部分は被覆を残す。</x:v>
      </x:c>
      <x:c r="F29" s="9" t="s">
        <x:v>152</x:v>
      </x:c>
      <x:c r="G29" s="11">
        <x:v>45</x:v>
      </x:c>
      <x:c r="H29" s="9" t="str">
        <x:v>AWG24被覆線、0.5mmスズメッキ線、こて</x:v>
      </x:c>
      <x:c r="I29" s="9" t="s">
        <x:v>153</x:v>
      </x:c>
      <x:c r="J29" s="9" t="str">
        <x:v>レール各穴はレール＋分岐1本。3V3/GND共通化・相互非短絡</x:v>
      </x:c>
      <x:c r="K29" s="9" t="s">
        <x:v>154</x:v>
      </x:c>
      <x:c r="L29" s="10" t="str">
        <x:v>再作業</x:v>
      </x:c>
      <x:c r="M29" s="10"/>
      <x:c r="N29" s="9" t="str">
        <x:v>Rev.8変更対象：付け替えまたは再検査後に完了へ更新</x:v>
      </x:c>
    </x:row>
    <x:row r="30" ht="82" customHeight="1">
      <x:c r="A30" s="10">
        <x:v>22</x:v>
      </x:c>
      <x:c r="B30" s="9" t="s">
        <x:v>147</x:v>
      </x:c>
      <x:c r="C30" s="9" t="s">
        <x:v>148</x:v>
      </x:c>
      <x:c r="D30" s="9" t="s">
        <x:v>155</x:v>
      </x:c>
      <x:c r="E30" s="9" t="str">
        <x:v>USB、全モジュール、外部ケーブルを外す。3V3全点とGND全点の導通を確認。3V3―GNDは抵抗値の充電変化を待ち、低抵抗に固定されないことを確認する。付け替え後は再測定。</x:v>
      </x:c>
      <x:c r="F30" s="9" t="s">
        <x:v>156</x:v>
      </x:c>
      <x:c r="G30" s="11">
        <x:v>25</x:v>
      </x:c>
      <x:c r="H30" s="9" t="s">
        <x:v>157</x:v>
      </x:c>
      <x:c r="I30" s="9" t="s">
        <x:v>158</x:v>
      </x:c>
      <x:c r="J30" s="9" t="s">
        <x:v>159</x:v>
      </x:c>
      <x:c r="K30" s="9" t="s">
        <x:v>160</x:v>
      </x:c>
      <x:c r="L30" s="10" t="str">
        <x:v>再作業</x:v>
      </x:c>
      <x:c r="M30" s="10"/>
      <x:c r="N30" s="9" t="str">
        <x:v>Rev.8変更対象：付け替えまたは再検査後に完了へ更新</x:v>
      </x:c>
    </x:row>
    <x:row r="31" ht="82" customHeight="1">
      <x:c r="A31" s="10">
        <x:v>23</x:v>
      </x:c>
      <x:c r="B31" s="9" t="s">
        <x:v>147</x:v>
      </x:c>
      <x:c r="C31" s="9" t="s">
        <x:v>148</x:v>
      </x:c>
      <x:c r="D31" s="9" t="s">
        <x:v>161</x:v>
      </x:c>
      <x:c r="E31" s="9" t="str">
        <x:v>SDA行18・列17〜23とSCL行19・列18〜24の横分配線もAWG24被覆線にする。ESP GPIO21/22、ADS SDA/SCL、MPU1/2信号端子を同名点へつなぐ。旧裸I²Cレールは外す。</x:v>
      </x:c>
      <x:c r="F31" s="9" t="s">
        <x:v>162</x:v>
      </x:c>
      <x:c r="G31" s="11">
        <x:v>30</x:v>
      </x:c>
      <x:c r="H31" s="9" t="s">
        <x:v>163</x:v>
      </x:c>
      <x:c r="I31" s="9" t="s">
        <x:v>164</x:v>
      </x:c>
      <x:c r="J31" s="9" t="str">
        <x:v>I²C全10本が被覆線。両端だけ裸にし、交差で短絡なし</x:v>
      </x:c>
      <x:c r="K31" s="9" t="s">
        <x:v>165</x:v>
      </x:c>
      <x:c r="L31" s="10" t="str">
        <x:v>再作業</x:v>
      </x:c>
      <x:c r="M31" s="10"/>
      <x:c r="N31" s="9" t="str">
        <x:v>Rev.8変更対象：付け替えまたは再検査後に完了へ更新</x:v>
      </x:c>
    </x:row>
    <x:row r="32" ht="68" customHeight="1">
      <x:c r="A32" s="10">
        <x:v>24</x:v>
      </x:c>
      <x:c r="B32" s="9" t="s">
        <x:v>147</x:v>
      </x:c>
      <x:c r="C32" s="9" t="s">
        <x:v>148</x:v>
      </x:c>
      <x:c r="D32" s="9" t="s">
        <x:v>166</x:v>
      </x:c>
      <x:c r="E32" s="9" t="s">
        <x:v>167</x:v>
      </x:c>
      <x:c r="F32" s="9" t="s">
        <x:v>156</x:v>
      </x:c>
      <x:c r="G32" s="11">
        <x:v>20</x:v>
      </x:c>
      <x:c r="H32" s="9" t="s">
        <x:v>157</x:v>
      </x:c>
      <x:c r="I32" s="9" t="s">
        <x:v>168</x:v>
      </x:c>
      <x:c r="J32" s="9" t="s">
        <x:v>169</x:v>
      </x:c>
      <x:c r="K32" s="9" t="s">
        <x:v>170</x:v>
      </x:c>
      <x:c r="L32" s="10" t="str">
        <x:v>再作業</x:v>
      </x:c>
      <x:c r="M32" s="10"/>
      <x:c r="N32" s="9" t="str">
        <x:v>Rev.8変更対象：付け替えまたは再検査後に完了へ更新</x:v>
      </x:c>
    </x:row>
    <x:row r="33" ht="82" customHeight="1">
      <x:c r="A33" s="10">
        <x:v>25</x:v>
      </x:c>
      <x:c r="B33" s="9" t="s">
        <x:v>147</x:v>
      </x:c>
      <x:c r="C33" s="9" t="s">
        <x:v>148</x:v>
      </x:c>
      <x:c r="D33" s="9" t="s">
        <x:v>171</x:v>
      </x:c>
      <x:c r="E33" s="9" t="str">
        <x:v>P1 SIG(27,24)は行23と24の中間を通し、R1→A0へ。P2 SIG→R2→A1。C1 GNDは(29,22)、C2 GNDは(27,22)。途中の曲がり位置23.5ははんだ穴ではない。</x:v>
      </x:c>
      <x:c r="F33" s="9" t="s">
        <x:v>172</x:v>
      </x:c>
      <x:c r="G33" s="11">
        <x:v>40</x:v>
      </x:c>
      <x:c r="H33" s="9" t="s">
        <x:v>173</x:v>
      </x:c>
      <x:c r="I33" s="9" t="s">
        <x:v>174</x:v>
      </x:c>
      <x:c r="J33" s="9" t="s">
        <x:v>175</x:v>
      </x:c>
      <x:c r="K33" s="9" t="s">
        <x:v>176</x:v>
      </x:c>
      <x:c r="L33" s="10" t="s">
        <x:v>50</x:v>
      </x:c>
      <x:c r="M33" s="10"/>
      <x:c r="N33" s="9"/>
    </x:row>
    <x:row r="34" ht="68" customHeight="1">
      <x:c r="A34" s="10">
        <x:v>26</x:v>
      </x:c>
      <x:c r="B34" s="9" t="s">
        <x:v>147</x:v>
      </x:c>
      <x:c r="C34" s="9" t="s">
        <x:v>148</x:v>
      </x:c>
      <x:c r="D34" s="9" t="s">
        <x:v>177</x:v>
      </x:c>
      <x:c r="E34" s="9" t="s">
        <x:v>178</x:v>
      </x:c>
      <x:c r="F34" s="9" t="s">
        <x:v>172</x:v>
      </x:c>
      <x:c r="G34" s="11">
        <x:v>30</x:v>
      </x:c>
      <x:c r="H34" s="9" t="s">
        <x:v>179</x:v>
      </x:c>
      <x:c r="I34" s="9" t="s">
        <x:v>180</x:v>
      </x:c>
      <x:c r="J34" s="9" t="s">
        <x:v>181</x:v>
      </x:c>
      <x:c r="K34" s="9" t="s">
        <x:v>182</x:v>
      </x:c>
      <x:c r="L34" s="10" t="s">
        <x:v>50</x:v>
      </x:c>
      <x:c r="M34" s="10"/>
      <x:c r="N34" s="9"/>
    </x:row>
    <x:row r="35" ht="82" customHeight="1">
      <x:c r="A35" s="10">
        <x:v>27</x:v>
      </x:c>
      <x:c r="B35" s="9" t="s">
        <x:v>147</x:v>
      </x:c>
      <x:c r="C35" s="9" t="s">
        <x:v>85</x:v>
      </x:c>
      <x:c r="D35" s="9" t="s">
        <x:v>183</x:v>
      </x:c>
      <x:c r="E35" s="9" t="str">
        <x:v>裏面④全配線図と37本を照合。裸線6本・被覆線31本、C6極性、行20/22レール、端子台前方15mmを確認。導通・絶縁の結果を記録する。</x:v>
      </x:c>
      <x:c r="F35" s="9" t="s">
        <x:v>184</x:v>
      </x:c>
      <x:c r="G35" s="11">
        <x:v>35</x:v>
      </x:c>
      <x:c r="H35" s="9" t="s">
        <x:v>185</x:v>
      </x:c>
      <x:c r="I35" s="9" t="s">
        <x:v>186</x:v>
      </x:c>
      <x:c r="J35" s="9" t="str">
        <x:v>全37本と絶縁項目が合格。旧行21の裸GNDレールなし</x:v>
      </x:c>
      <x:c r="K35" s="9" t="s">
        <x:v>187</x:v>
      </x:c>
      <x:c r="L35" s="10" t="s">
        <x:v>50</x:v>
      </x:c>
      <x:c r="M35" s="10"/>
      <x:c r="N35" s="9"/>
    </x:row>
    <x:row r="36" ht="68" customHeight="1">
      <x:c r="A36" s="10">
        <x:v>28</x:v>
      </x:c>
      <x:c r="B36" s="9" t="s">
        <x:v>188</x:v>
      </x:c>
      <x:c r="C36" s="9" t="s">
        <x:v>189</x:v>
      </x:c>
      <x:c r="D36" s="9" t="s">
        <x:v>190</x:v>
      </x:c>
      <x:c r="E36" s="9" t="s">
        <x:v>191</x:v>
      </x:c>
      <x:c r="F36" s="9" t="s">
        <x:v>192</x:v>
      </x:c>
      <x:c r="G36" s="11">
        <x:v>25</x:v>
      </x:c>
      <x:c r="H36" s="9" t="s">
        <x:v>193</x:v>
      </x:c>
      <x:c r="I36" s="9" t="s">
        <x:v>194</x:v>
      </x:c>
      <x:c r="J36" s="9" t="s">
        <x:v>195</x:v>
      </x:c>
      <x:c r="K36" s="9" t="s">
        <x:v>196</x:v>
      </x:c>
      <x:c r="L36" s="10" t="s">
        <x:v>50</x:v>
      </x:c>
      <x:c r="M36" s="10"/>
      <x:c r="N36" s="9"/>
    </x:row>
    <x:row r="37" ht="68" customHeight="1">
      <x:c r="A37" s="10">
        <x:v>29</x:v>
      </x:c>
      <x:c r="B37" s="9" t="s">
        <x:v>188</x:v>
      </x:c>
      <x:c r="C37" s="9" t="s">
        <x:v>197</x:v>
      </x:c>
      <x:c r="D37" s="9" t="s">
        <x:v>198</x:v>
      </x:c>
      <x:c r="E37" s="9" t="s">
        <x:v>199</x:v>
      </x:c>
      <x:c r="F37" s="9" t="s">
        <x:v>61</x:v>
      </x:c>
      <x:c r="G37" s="11">
        <x:v>15</x:v>
      </x:c>
      <x:c r="H37" s="9" t="s">
        <x:v>200</x:v>
      </x:c>
      <x:c r="I37" s="9" t="s">
        <x:v>201</x:v>
      </x:c>
      <x:c r="J37" s="9" t="s">
        <x:v>202</x:v>
      </x:c>
      <x:c r="K37" s="9" t="s">
        <x:v>203</x:v>
      </x:c>
      <x:c r="L37" s="10" t="s">
        <x:v>50</x:v>
      </x:c>
      <x:c r="M37" s="10"/>
      <x:c r="N37" s="9"/>
    </x:row>
    <x:row r="38" ht="68" customHeight="1">
      <x:c r="A38" s="10">
        <x:v>30</x:v>
      </x:c>
      <x:c r="B38" s="9" t="s">
        <x:v>188</x:v>
      </x:c>
      <x:c r="C38" s="9" t="s">
        <x:v>197</x:v>
      </x:c>
      <x:c r="D38" s="9" t="s">
        <x:v>204</x:v>
      </x:c>
      <x:c r="E38" s="9" t="s">
        <x:v>205</x:v>
      </x:c>
      <x:c r="F38" s="9" t="s">
        <x:v>61</x:v>
      </x:c>
      <x:c r="G38" s="11">
        <x:v>30</x:v>
      </x:c>
      <x:c r="H38" s="9" t="s">
        <x:v>206</x:v>
      </x:c>
      <x:c r="I38" s="9" t="s">
        <x:v>207</x:v>
      </x:c>
      <x:c r="J38" s="9" t="s">
        <x:v>208</x:v>
      </x:c>
      <x:c r="K38" s="9" t="s">
        <x:v>209</x:v>
      </x:c>
      <x:c r="L38" s="10" t="s">
        <x:v>50</x:v>
      </x:c>
      <x:c r="M38" s="10"/>
      <x:c r="N38" s="9"/>
    </x:row>
    <x:row r="39" ht="68" customHeight="1">
      <x:c r="A39" s="10">
        <x:v>31</x:v>
      </x:c>
      <x:c r="B39" s="9" t="s">
        <x:v>188</x:v>
      </x:c>
      <x:c r="C39" s="9" t="s">
        <x:v>197</x:v>
      </x:c>
      <x:c r="D39" s="9" t="s">
        <x:v>210</x:v>
      </x:c>
      <x:c r="E39" s="9" t="s">
        <x:v>211</x:v>
      </x:c>
      <x:c r="F39" s="9" t="s">
        <x:v>61</x:v>
      </x:c>
      <x:c r="G39" s="11">
        <x:v>25</x:v>
      </x:c>
      <x:c r="H39" s="9" t="s">
        <x:v>212</x:v>
      </x:c>
      <x:c r="I39" s="9" t="s">
        <x:v>213</x:v>
      </x:c>
      <x:c r="J39" s="9" t="s">
        <x:v>214</x:v>
      </x:c>
      <x:c r="K39" s="9" t="s">
        <x:v>215</x:v>
      </x:c>
      <x:c r="L39" s="10" t="s">
        <x:v>50</x:v>
      </x:c>
      <x:c r="M39" s="10"/>
      <x:c r="N39" s="9"/>
    </x:row>
    <x:row r="40" ht="68" customHeight="1">
      <x:c r="A40" s="10">
        <x:v>32</x:v>
      </x:c>
      <x:c r="B40" s="9" t="s">
        <x:v>188</x:v>
      </x:c>
      <x:c r="C40" s="9" t="s">
        <x:v>216</x:v>
      </x:c>
      <x:c r="D40" s="9" t="s">
        <x:v>217</x:v>
      </x:c>
      <x:c r="E40" s="9" t="s">
        <x:v>218</x:v>
      </x:c>
      <x:c r="F40" s="9" t="s">
        <x:v>219</x:v>
      </x:c>
      <x:c r="G40" s="11">
        <x:v>25</x:v>
      </x:c>
      <x:c r="H40" s="9" t="s">
        <x:v>149</x:v>
      </x:c>
      <x:c r="I40" s="9" t="s">
        <x:v>220</x:v>
      </x:c>
      <x:c r="J40" s="9" t="s">
        <x:v>221</x:v>
      </x:c>
      <x:c r="K40" s="9" t="s">
        <x:v>222</x:v>
      </x:c>
      <x:c r="L40" s="10" t="s">
        <x:v>50</x:v>
      </x:c>
      <x:c r="M40" s="10"/>
      <x:c r="N40" s="9"/>
    </x:row>
    <x:row r="41" ht="68" customHeight="1">
      <x:c r="A41" s="10">
        <x:v>33</x:v>
      </x:c>
      <x:c r="B41" s="9" t="s">
        <x:v>188</x:v>
      </x:c>
      <x:c r="C41" s="9" t="s">
        <x:v>223</x:v>
      </x:c>
      <x:c r="D41" s="9" t="s">
        <x:v>217</x:v>
      </x:c>
      <x:c r="E41" s="9" t="s">
        <x:v>224</x:v>
      </x:c>
      <x:c r="F41" s="9" t="s">
        <x:v>225</x:v>
      </x:c>
      <x:c r="G41" s="11">
        <x:v>25</x:v>
      </x:c>
      <x:c r="H41" s="9" t="s">
        <x:v>149</x:v>
      </x:c>
      <x:c r="I41" s="9" t="s">
        <x:v>220</x:v>
      </x:c>
      <x:c r="J41" s="9" t="s">
        <x:v>221</x:v>
      </x:c>
      <x:c r="K41" s="9" t="s">
        <x:v>222</x:v>
      </x:c>
      <x:c r="L41" s="10" t="s">
        <x:v>50</x:v>
      </x:c>
      <x:c r="M41" s="10"/>
      <x:c r="N41" s="9"/>
    </x:row>
    <x:row r="42" ht="68" customHeight="1">
      <x:c r="A42" s="10">
        <x:v>34</x:v>
      </x:c>
      <x:c r="B42" s="9" t="s">
        <x:v>188</x:v>
      </x:c>
      <x:c r="C42" s="9" t="s">
        <x:v>226</x:v>
      </x:c>
      <x:c r="D42" s="9" t="s">
        <x:v>227</x:v>
      </x:c>
      <x:c r="E42" s="9" t="s">
        <x:v>228</x:v>
      </x:c>
      <x:c r="F42" s="9" t="s">
        <x:v>229</x:v>
      </x:c>
      <x:c r="G42" s="11">
        <x:v>10</x:v>
      </x:c>
      <x:c r="H42" s="9" t="s">
        <x:v>230</x:v>
      </x:c>
      <x:c r="I42" s="9" t="s">
        <x:v>231</x:v>
      </x:c>
      <x:c r="J42" s="9" t="s">
        <x:v>232</x:v>
      </x:c>
      <x:c r="K42" s="9" t="s">
        <x:v>233</x:v>
      </x:c>
      <x:c r="L42" s="10" t="s">
        <x:v>50</x:v>
      </x:c>
      <x:c r="M42" s="10"/>
      <x:c r="N42" s="9"/>
    </x:row>
    <x:row r="43" ht="68" customHeight="1">
      <x:c r="A43" s="10">
        <x:v>35</x:v>
      </x:c>
      <x:c r="B43" s="9" t="s">
        <x:v>188</x:v>
      </x:c>
      <x:c r="C43" s="9" t="s">
        <x:v>197</x:v>
      </x:c>
      <x:c r="D43" s="9" t="s">
        <x:v>234</x:v>
      </x:c>
      <x:c r="E43" s="9" t="s">
        <x:v>235</x:v>
      </x:c>
      <x:c r="F43" s="9" t="s">
        <x:v>61</x:v>
      </x:c>
      <x:c r="G43" s="11">
        <x:v>25</x:v>
      </x:c>
      <x:c r="H43" s="9" t="s">
        <x:v>236</x:v>
      </x:c>
      <x:c r="I43" s="9" t="s">
        <x:v>237</x:v>
      </x:c>
      <x:c r="J43" s="9" t="s">
        <x:v>238</x:v>
      </x:c>
      <x:c r="K43" s="9" t="s">
        <x:v>239</x:v>
      </x:c>
      <x:c r="L43" s="10" t="s">
        <x:v>50</x:v>
      </x:c>
      <x:c r="M43" s="10"/>
      <x:c r="N43" s="9"/>
    </x:row>
    <x:row r="44" ht="68" customHeight="1">
      <x:c r="A44" s="10">
        <x:v>36</x:v>
      </x:c>
      <x:c r="B44" s="9" t="s">
        <x:v>188</x:v>
      </x:c>
      <x:c r="C44" s="9" t="s">
        <x:v>197</x:v>
      </x:c>
      <x:c r="D44" s="9" t="s">
        <x:v>240</x:v>
      </x:c>
      <x:c r="E44" s="9" t="s">
        <x:v>241</x:v>
      </x:c>
      <x:c r="F44" s="9" t="s">
        <x:v>242</x:v>
      </x:c>
      <x:c r="G44" s="11">
        <x:v>25</x:v>
      </x:c>
      <x:c r="H44" s="9" t="s">
        <x:v>243</x:v>
      </x:c>
      <x:c r="I44" s="9" t="s">
        <x:v>244</x:v>
      </x:c>
      <x:c r="J44" s="9" t="s">
        <x:v>245</x:v>
      </x:c>
      <x:c r="K44" s="9" t="s">
        <x:v>246</x:v>
      </x:c>
      <x:c r="L44" s="10" t="s">
        <x:v>50</x:v>
      </x:c>
      <x:c r="M44" s="10"/>
      <x:c r="N44" s="9"/>
    </x:row>
    <x:row r="45" ht="68" customHeight="1">
      <x:c r="A45" s="10">
        <x:v>37</x:v>
      </x:c>
      <x:c r="B45" s="9" t="s">
        <x:v>247</x:v>
      </x:c>
      <x:c r="C45" s="9" t="s">
        <x:v>248</x:v>
      </x:c>
      <x:c r="D45" s="9" t="s">
        <x:v>249</x:v>
      </x:c>
      <x:c r="E45" s="9" t="s">
        <x:v>250</x:v>
      </x:c>
      <x:c r="F45" s="9" t="s">
        <x:v>251</x:v>
      </x:c>
      <x:c r="G45" s="11">
        <x:v>20</x:v>
      </x:c>
      <x:c r="H45" s="9" t="s">
        <x:v>252</x:v>
      </x:c>
      <x:c r="I45" s="9" t="s">
        <x:v>253</x:v>
      </x:c>
      <x:c r="J45" s="9" t="s">
        <x:v>254</x:v>
      </x:c>
      <x:c r="K45" s="9" t="s">
        <x:v>255</x:v>
      </x:c>
      <x:c r="L45" s="10" t="s">
        <x:v>50</x:v>
      </x:c>
      <x:c r="M45" s="10"/>
      <x:c r="N45" s="9"/>
    </x:row>
    <x:row r="46" ht="68" customHeight="1">
      <x:c r="A46" s="10">
        <x:v>38</x:v>
      </x:c>
      <x:c r="B46" s="9" t="s">
        <x:v>247</x:v>
      </x:c>
      <x:c r="C46" s="9" t="s">
        <x:v>248</x:v>
      </x:c>
      <x:c r="D46" s="9" t="s">
        <x:v>256</x:v>
      </x:c>
      <x:c r="E46" s="9" t="s">
        <x:v>257</x:v>
      </x:c>
      <x:c r="F46" s="9" t="s">
        <x:v>251</x:v>
      </x:c>
      <x:c r="G46" s="11">
        <x:v>20</x:v>
      </x:c>
      <x:c r="H46" s="9" t="s">
        <x:v>258</x:v>
      </x:c>
      <x:c r="I46" s="9" t="s">
        <x:v>259</x:v>
      </x:c>
      <x:c r="J46" s="9" t="s">
        <x:v>260</x:v>
      </x:c>
      <x:c r="K46" s="9" t="s">
        <x:v>261</x:v>
      </x:c>
      <x:c r="L46" s="10" t="s">
        <x:v>50</x:v>
      </x:c>
      <x:c r="M46" s="10"/>
      <x:c r="N46" s="9"/>
    </x:row>
    <x:row r="47" ht="68" customHeight="1">
      <x:c r="A47" s="10">
        <x:v>39</x:v>
      </x:c>
      <x:c r="B47" s="9" t="s">
        <x:v>247</x:v>
      </x:c>
      <x:c r="C47" s="9" t="s">
        <x:v>262</x:v>
      </x:c>
      <x:c r="D47" s="9" t="s">
        <x:v>263</x:v>
      </x:c>
      <x:c r="E47" s="9" t="s">
        <x:v>264</x:v>
      </x:c>
      <x:c r="F47" s="9" t="s">
        <x:v>265</x:v>
      </x:c>
      <x:c r="G47" s="11">
        <x:v>20</x:v>
      </x:c>
      <x:c r="H47" s="9" t="s">
        <x:v>266</x:v>
      </x:c>
      <x:c r="I47" s="9" t="s">
        <x:v>267</x:v>
      </x:c>
      <x:c r="J47" s="9" t="s">
        <x:v>268</x:v>
      </x:c>
      <x:c r="K47" s="9" t="s">
        <x:v>269</x:v>
      </x:c>
      <x:c r="L47" s="10" t="s">
        <x:v>50</x:v>
      </x:c>
      <x:c r="M47" s="10"/>
      <x:c r="N47" s="9"/>
    </x:row>
    <x:row r="48" ht="68" customHeight="1">
      <x:c r="A48" s="10">
        <x:v>40</x:v>
      </x:c>
      <x:c r="B48" s="9" t="s">
        <x:v>247</x:v>
      </x:c>
      <x:c r="C48" s="9" t="s">
        <x:v>270</x:v>
      </x:c>
      <x:c r="D48" s="9" t="s">
        <x:v>263</x:v>
      </x:c>
      <x:c r="E48" s="9" t="s">
        <x:v>271</x:v>
      </x:c>
      <x:c r="F48" s="9" t="s">
        <x:v>61</x:v>
      </x:c>
      <x:c r="G48" s="11">
        <x:v>20</x:v>
      </x:c>
      <x:c r="H48" s="9" t="s">
        <x:v>266</x:v>
      </x:c>
      <x:c r="I48" s="9" t="s">
        <x:v>272</x:v>
      </x:c>
      <x:c r="J48" s="9" t="s">
        <x:v>273</x:v>
      </x:c>
      <x:c r="K48" s="9" t="s">
        <x:v>274</x:v>
      </x:c>
      <x:c r="L48" s="10" t="s">
        <x:v>50</x:v>
      </x:c>
      <x:c r="M48" s="10"/>
      <x:c r="N48" s="9"/>
    </x:row>
    <x:row r="49" ht="68" customHeight="1">
      <x:c r="A49" s="10">
        <x:v>41</x:v>
      </x:c>
      <x:c r="B49" s="9" t="s">
        <x:v>247</x:v>
      </x:c>
      <x:c r="C49" s="9" t="s">
        <x:v>275</x:v>
      </x:c>
      <x:c r="D49" s="9" t="s">
        <x:v>276</x:v>
      </x:c>
      <x:c r="E49" s="9" t="s">
        <x:v>277</x:v>
      </x:c>
      <x:c r="F49" s="9" t="s">
        <x:v>54</x:v>
      </x:c>
      <x:c r="G49" s="11">
        <x:v>15</x:v>
      </x:c>
      <x:c r="H49" s="9" t="s">
        <x:v>278</x:v>
      </x:c>
      <x:c r="I49" s="9" t="s">
        <x:v>279</x:v>
      </x:c>
      <x:c r="J49" s="9" t="s">
        <x:v>280</x:v>
      </x:c>
      <x:c r="K49" s="9" t="s">
        <x:v>281</x:v>
      </x:c>
      <x:c r="L49" s="10" t="s">
        <x:v>50</x:v>
      </x:c>
      <x:c r="M49" s="10"/>
      <x:c r="N49" s="9"/>
    </x:row>
    <x:row r="50" ht="68" customHeight="1">
      <x:c r="A50" s="10">
        <x:v>42</x:v>
      </x:c>
      <x:c r="B50" s="9" t="s">
        <x:v>282</x:v>
      </x:c>
      <x:c r="C50" s="9" t="s">
        <x:v>23</x:v>
      </x:c>
      <x:c r="D50" s="9" t="s">
        <x:v>283</x:v>
      </x:c>
      <x:c r="E50" s="9" t="s">
        <x:v>284</x:v>
      </x:c>
      <x:c r="F50" s="9" t="s">
        <x:v>285</x:v>
      </x:c>
      <x:c r="G50" s="11">
        <x:v>15</x:v>
      </x:c>
      <x:c r="H50" s="9" t="s">
        <x:v>286</x:v>
      </x:c>
      <x:c r="I50" s="9" t="s">
        <x:v>287</x:v>
      </x:c>
      <x:c r="J50" s="9" t="s">
        <x:v>288</x:v>
      </x:c>
      <x:c r="K50" s="9" t="s">
        <x:v>289</x:v>
      </x:c>
      <x:c r="L50" s="10" t="s">
        <x:v>50</x:v>
      </x:c>
      <x:c r="M50" s="10"/>
      <x:c r="N50" s="9"/>
    </x:row>
    <x:row r="51" ht="68" customHeight="1">
      <x:c r="A51" s="10">
        <x:v>43</x:v>
      </x:c>
      <x:c r="B51" s="9" t="s">
        <x:v>282</x:v>
      </x:c>
      <x:c r="C51" s="9" t="s">
        <x:v>23</x:v>
      </x:c>
      <x:c r="D51" s="9" t="s">
        <x:v>290</x:v>
      </x:c>
      <x:c r="E51" s="9" t="s">
        <x:v>291</x:v>
      </x:c>
      <x:c r="F51" s="9" t="s">
        <x:v>156</x:v>
      </x:c>
      <x:c r="G51" s="11">
        <x:v>25</x:v>
      </x:c>
      <x:c r="H51" s="9" t="s">
        <x:v>292</x:v>
      </x:c>
      <x:c r="I51" s="9" t="s">
        <x:v>293</x:v>
      </x:c>
      <x:c r="J51" s="9" t="s">
        <x:v>294</x:v>
      </x:c>
      <x:c r="K51" s="9" t="s">
        <x:v>295</x:v>
      </x:c>
      <x:c r="L51" s="10" t="s">
        <x:v>50</x:v>
      </x:c>
      <x:c r="M51" s="10"/>
      <x:c r="N51" s="9"/>
    </x:row>
    <x:row r="52" ht="68" customHeight="1">
      <x:c r="A52" s="10">
        <x:v>44</x:v>
      </x:c>
      <x:c r="B52" s="9" t="s">
        <x:v>282</x:v>
      </x:c>
      <x:c r="C52" s="9" t="s">
        <x:v>51</x:v>
      </x:c>
      <x:c r="D52" s="9" t="s">
        <x:v>296</x:v>
      </x:c>
      <x:c r="E52" s="9" t="s">
        <x:v>297</x:v>
      </x:c>
      <x:c r="F52" s="9" t="s">
        <x:v>156</x:v>
      </x:c>
      <x:c r="G52" s="11">
        <x:v>35</x:v>
      </x:c>
      <x:c r="H52" s="9" t="s">
        <x:v>157</x:v>
      </x:c>
      <x:c r="I52" s="9" t="s">
        <x:v>298</x:v>
      </x:c>
      <x:c r="J52" s="9" t="s">
        <x:v>299</x:v>
      </x:c>
      <x:c r="K52" s="9" t="s">
        <x:v>300</x:v>
      </x:c>
      <x:c r="L52" s="10" t="s">
        <x:v>50</x:v>
      </x:c>
      <x:c r="M52" s="10"/>
      <x:c r="N52" s="9"/>
    </x:row>
    <x:row r="53" ht="68" customHeight="1">
      <x:c r="A53" s="10">
        <x:v>45</x:v>
      </x:c>
      <x:c r="B53" s="9" t="s">
        <x:v>282</x:v>
      </x:c>
      <x:c r="C53" s="9" t="s">
        <x:v>51</x:v>
      </x:c>
      <x:c r="D53" s="9" t="s">
        <x:v>301</x:v>
      </x:c>
      <x:c r="E53" s="9" t="s">
        <x:v>302</x:v>
      </x:c>
      <x:c r="F53" s="9" t="s">
        <x:v>46</x:v>
      </x:c>
      <x:c r="G53" s="11">
        <x:v>25</x:v>
      </x:c>
      <x:c r="H53" s="9" t="s">
        <x:v>303</x:v>
      </x:c>
      <x:c r="I53" s="9" t="s">
        <x:v>304</x:v>
      </x:c>
      <x:c r="J53" s="9" t="s">
        <x:v>305</x:v>
      </x:c>
      <x:c r="K53" s="9" t="s">
        <x:v>306</x:v>
      </x:c>
      <x:c r="L53" s="10" t="s">
        <x:v>50</x:v>
      </x:c>
      <x:c r="M53" s="10"/>
      <x:c r="N53" s="9"/>
    </x:row>
    <x:row r="54" ht="68" customHeight="1">
      <x:c r="A54" s="10">
        <x:v>46</x:v>
      </x:c>
      <x:c r="B54" s="9" t="s">
        <x:v>282</x:v>
      </x:c>
      <x:c r="C54" s="9" t="s">
        <x:v>59</x:v>
      </x:c>
      <x:c r="D54" s="9" t="s">
        <x:v>307</x:v>
      </x:c>
      <x:c r="E54" s="9" t="s">
        <x:v>308</x:v>
      </x:c>
      <x:c r="F54" s="9" t="s">
        <x:v>309</x:v>
      </x:c>
      <x:c r="G54" s="11">
        <x:v>30</x:v>
      </x:c>
      <x:c r="H54" s="9" t="s">
        <x:v>157</x:v>
      </x:c>
      <x:c r="I54" s="9" t="s">
        <x:v>310</x:v>
      </x:c>
      <x:c r="J54" s="9" t="s">
        <x:v>311</x:v>
      </x:c>
      <x:c r="K54" s="9" t="s">
        <x:v>312</x:v>
      </x:c>
      <x:c r="L54" s="10" t="s">
        <x:v>50</x:v>
      </x:c>
      <x:c r="M54" s="10"/>
      <x:c r="N54" s="9"/>
    </x:row>
    <x:row r="55" ht="68" customHeight="1">
      <x:c r="A55" s="10">
        <x:v>47</x:v>
      </x:c>
      <x:c r="B55" s="9" t="s">
        <x:v>282</x:v>
      </x:c>
      <x:c r="C55" s="9" t="s">
        <x:v>23</x:v>
      </x:c>
      <x:c r="D55" s="9" t="s">
        <x:v>313</x:v>
      </x:c>
      <x:c r="E55" s="9" t="s">
        <x:v>314</x:v>
      </x:c>
      <x:c r="F55" s="9" t="s">
        <x:v>156</x:v>
      </x:c>
      <x:c r="G55" s="11">
        <x:v>15</x:v>
      </x:c>
      <x:c r="H55" s="9" t="s">
        <x:v>315</x:v>
      </x:c>
      <x:c r="I55" s="9" t="s">
        <x:v>316</x:v>
      </x:c>
      <x:c r="J55" s="9" t="s">
        <x:v>317</x:v>
      </x:c>
      <x:c r="K55" s="9" t="s">
        <x:v>318</x:v>
      </x:c>
      <x:c r="L55" s="10" t="s">
        <x:v>50</x:v>
      </x:c>
      <x:c r="M55" s="10"/>
      <x:c r="N55" s="9"/>
    </x:row>
    <x:row r="56" ht="68" customHeight="1">
      <x:c r="A56" s="10">
        <x:v>48</x:v>
      </x:c>
      <x:c r="B56" s="9" t="s">
        <x:v>319</x:v>
      </x:c>
      <x:c r="C56" s="9" t="s">
        <x:v>320</x:v>
      </x:c>
      <x:c r="D56" s="9" t="s">
        <x:v>321</x:v>
      </x:c>
      <x:c r="E56" s="9" t="s">
        <x:v>322</x:v>
      </x:c>
      <x:c r="F56" s="9" t="s">
        <x:v>46</x:v>
      </x:c>
      <x:c r="G56" s="11">
        <x:v>20</x:v>
      </x:c>
      <x:c r="H56" s="9" t="s">
        <x:v>323</x:v>
      </x:c>
      <x:c r="I56" s="9" t="s">
        <x:v>324</x:v>
      </x:c>
      <x:c r="J56" s="9" t="s">
        <x:v>325</x:v>
      </x:c>
      <x:c r="K56" s="9" t="s">
        <x:v>326</x:v>
      </x:c>
      <x:c r="L56" s="10" t="s">
        <x:v>50</x:v>
      </x:c>
      <x:c r="M56" s="10"/>
      <x:c r="N56" s="9"/>
    </x:row>
    <x:row r="57" ht="68" customHeight="1">
      <x:c r="A57" s="10">
        <x:v>49</x:v>
      </x:c>
      <x:c r="B57" s="9" t="s">
        <x:v>319</x:v>
      </x:c>
      <x:c r="C57" s="9" t="s">
        <x:v>327</x:v>
      </x:c>
      <x:c r="D57" s="9" t="s">
        <x:v>328</x:v>
      </x:c>
      <x:c r="E57" s="9" t="s">
        <x:v>329</x:v>
      </x:c>
      <x:c r="F57" s="9" t="s">
        <x:v>46</x:v>
      </x:c>
      <x:c r="G57" s="11">
        <x:v>25</x:v>
      </x:c>
      <x:c r="H57" s="9" t="s">
        <x:v>330</x:v>
      </x:c>
      <x:c r="I57" s="9" t="s">
        <x:v>331</x:v>
      </x:c>
      <x:c r="J57" s="9" t="s">
        <x:v>332</x:v>
      </x:c>
      <x:c r="K57" s="9" t="s">
        <x:v>333</x:v>
      </x:c>
      <x:c r="L57" s="10" t="s">
        <x:v>50</x:v>
      </x:c>
      <x:c r="M57" s="10"/>
      <x:c r="N57" s="9"/>
    </x:row>
    <x:row r="58" ht="68" customHeight="1">
      <x:c r="A58" s="10">
        <x:v>50</x:v>
      </x:c>
      <x:c r="B58" s="9" t="s">
        <x:v>319</x:v>
      </x:c>
      <x:c r="C58" s="9" t="s">
        <x:v>334</x:v>
      </x:c>
      <x:c r="D58" s="9" t="s">
        <x:v>335</x:v>
      </x:c>
      <x:c r="E58" s="9" t="s">
        <x:v>336</x:v>
      </x:c>
      <x:c r="F58" s="9" t="s">
        <x:v>251</x:v>
      </x:c>
      <x:c r="G58" s="11">
        <x:v>25</x:v>
      </x:c>
      <x:c r="H58" s="9" t="s">
        <x:v>337</x:v>
      </x:c>
      <x:c r="I58" s="9" t="s">
        <x:v>338</x:v>
      </x:c>
      <x:c r="J58" s="9" t="s">
        <x:v>339</x:v>
      </x:c>
      <x:c r="K58" s="9" t="s">
        <x:v>340</x:v>
      </x:c>
      <x:c r="L58" s="10" t="s">
        <x:v>50</x:v>
      </x:c>
      <x:c r="M58" s="10"/>
      <x:c r="N58" s="9"/>
    </x:row>
    <x:row r="59" ht="68" customHeight="1">
      <x:c r="A59" s="10">
        <x:v>51</x:v>
      </x:c>
      <x:c r="B59" s="9" t="s">
        <x:v>319</x:v>
      </x:c>
      <x:c r="C59" s="9" t="s">
        <x:v>341</x:v>
      </x:c>
      <x:c r="D59" s="9" t="s">
        <x:v>342</x:v>
      </x:c>
      <x:c r="E59" s="9" t="s">
        <x:v>343</x:v>
      </x:c>
      <x:c r="F59" s="9" t="s">
        <x:v>251</x:v>
      </x:c>
      <x:c r="G59" s="11">
        <x:v>25</x:v>
      </x:c>
      <x:c r="H59" s="9" t="s">
        <x:v>344</x:v>
      </x:c>
      <x:c r="I59" s="9" t="s">
        <x:v>345</x:v>
      </x:c>
      <x:c r="J59" s="9" t="s">
        <x:v>346</x:v>
      </x:c>
      <x:c r="K59" s="9" t="s">
        <x:v>347</x:v>
      </x:c>
      <x:c r="L59" s="10" t="s">
        <x:v>50</x:v>
      </x:c>
      <x:c r="M59" s="10"/>
      <x:c r="N59" s="9"/>
    </x:row>
    <x:row r="60" ht="68" customHeight="1">
      <x:c r="A60" s="10">
        <x:v>52</x:v>
      </x:c>
      <x:c r="B60" s="9" t="s">
        <x:v>319</x:v>
      </x:c>
      <x:c r="C60" s="9" t="s">
        <x:v>348</x:v>
      </x:c>
      <x:c r="D60" s="9" t="s">
        <x:v>349</x:v>
      </x:c>
      <x:c r="E60" s="9" t="s">
        <x:v>350</x:v>
      </x:c>
      <x:c r="F60" s="9" t="s">
        <x:v>39</x:v>
      </x:c>
      <x:c r="G60" s="11">
        <x:v>25</x:v>
      </x:c>
      <x:c r="H60" s="9" t="s">
        <x:v>351</x:v>
      </x:c>
      <x:c r="I60" s="9" t="s">
        <x:v>352</x:v>
      </x:c>
      <x:c r="J60" s="9" t="s">
        <x:v>353</x:v>
      </x:c>
      <x:c r="K60" s="9" t="s">
        <x:v>354</x:v>
      </x:c>
      <x:c r="L60" s="10" t="s">
        <x:v>50</x:v>
      </x:c>
      <x:c r="M60" s="10"/>
      <x:c r="N60" s="9"/>
    </x:row>
    <x:row r="61" ht="68" customHeight="1">
      <x:c r="A61" s="10">
        <x:v>53</x:v>
      </x:c>
      <x:c r="B61" s="9" t="s">
        <x:v>319</x:v>
      </x:c>
      <x:c r="C61" s="9" t="s">
        <x:v>355</x:v>
      </x:c>
      <x:c r="D61" s="9" t="s">
        <x:v>356</x:v>
      </x:c>
      <x:c r="E61" s="9" t="s">
        <x:v>357</x:v>
      </x:c>
      <x:c r="F61" s="9" t="s">
        <x:v>46</x:v>
      </x:c>
      <x:c r="G61" s="11">
        <x:v>30</x:v>
      </x:c>
      <x:c r="H61" s="9" t="s">
        <x:v>358</x:v>
      </x:c>
      <x:c r="I61" s="9" t="s">
        <x:v>352</x:v>
      </x:c>
      <x:c r="J61" s="9" t="s">
        <x:v>359</x:v>
      </x:c>
      <x:c r="K61" s="9" t="s">
        <x:v>360</x:v>
      </x:c>
      <x:c r="L61" s="10" t="s">
        <x:v>50</x:v>
      </x:c>
      <x:c r="M61" s="10"/>
      <x:c r="N61" s="9"/>
    </x:row>
    <x:row r="62" ht="68" customHeight="1">
      <x:c r="A62" s="10">
        <x:v>54</x:v>
      </x:c>
      <x:c r="B62" s="9" t="s">
        <x:v>319</x:v>
      </x:c>
      <x:c r="C62" s="9" t="s">
        <x:v>361</x:v>
      </x:c>
      <x:c r="D62" s="9" t="s">
        <x:v>362</x:v>
      </x:c>
      <x:c r="E62" s="9" t="s">
        <x:v>363</x:v>
      </x:c>
      <x:c r="F62" s="9" t="s">
        <x:v>46</x:v>
      </x:c>
      <x:c r="G62" s="11">
        <x:v>20</x:v>
      </x:c>
      <x:c r="H62" s="9" t="s">
        <x:v>364</x:v>
      </x:c>
      <x:c r="I62" s="9" t="s">
        <x:v>365</x:v>
      </x:c>
      <x:c r="J62" s="9" t="s">
        <x:v>366</x:v>
      </x:c>
      <x:c r="K62" s="9" t="s">
        <x:v>367</x:v>
      </x:c>
      <x:c r="L62" s="10" t="s">
        <x:v>50</x:v>
      </x:c>
      <x:c r="M62" s="10"/>
      <x:c r="N62" s="9"/>
    </x:row>
    <x:row r="63" ht="68" customHeight="1">
      <x:c r="A63" s="10">
        <x:v>55</x:v>
      </x:c>
      <x:c r="B63" s="9" t="s">
        <x:v>368</x:v>
      </x:c>
      <x:c r="C63" s="9" t="s">
        <x:v>23</x:v>
      </x:c>
      <x:c r="D63" s="9" t="s">
        <x:v>369</x:v>
      </x:c>
      <x:c r="E63" s="9" t="s">
        <x:v>370</x:v>
      </x:c>
      <x:c r="F63" s="9" t="s">
        <x:v>371</x:v>
      </x:c>
      <x:c r="G63" s="11">
        <x:v>35</x:v>
      </x:c>
      <x:c r="H63" s="9" t="s">
        <x:v>372</x:v>
      </x:c>
      <x:c r="I63" s="9" t="s">
        <x:v>373</x:v>
      </x:c>
      <x:c r="J63" s="9" t="s">
        <x:v>374</x:v>
      </x:c>
      <x:c r="K63" s="9" t="s">
        <x:v>375</x:v>
      </x:c>
      <x:c r="L63" s="10" t="s">
        <x:v>50</x:v>
      </x:c>
      <x:c r="M63" s="10"/>
      <x:c r="N63" s="9"/>
    </x:row>
    <x:row r="64" ht="68" customHeight="1">
      <x:c r="A64" s="10">
        <x:v>56</x:v>
      </x:c>
      <x:c r="B64" s="9" t="s">
        <x:v>368</x:v>
      </x:c>
      <x:c r="C64" s="9" t="s">
        <x:v>376</x:v>
      </x:c>
      <x:c r="D64" s="9" t="s">
        <x:v>377</x:v>
      </x:c>
      <x:c r="E64" s="9" t="s">
        <x:v>378</x:v>
      </x:c>
      <x:c r="F64" s="9" t="s">
        <x:v>39</x:v>
      </x:c>
      <x:c r="G64" s="11">
        <x:v>25</x:v>
      </x:c>
      <x:c r="H64" s="9" t="s">
        <x:v>379</x:v>
      </x:c>
      <x:c r="I64" s="9" t="s">
        <x:v>380</x:v>
      </x:c>
      <x:c r="J64" s="9" t="s">
        <x:v>381</x:v>
      </x:c>
      <x:c r="K64" s="9" t="s">
        <x:v>382</x:v>
      </x:c>
      <x:c r="L64" s="10" t="s">
        <x:v>50</x:v>
      </x:c>
      <x:c r="M64" s="10"/>
      <x:c r="N64" s="9"/>
    </x:row>
    <x:row r="65" ht="68" customHeight="1">
      <x:c r="A65" s="10">
        <x:v>57</x:v>
      </x:c>
      <x:c r="B65" s="9" t="s">
        <x:v>368</x:v>
      </x:c>
      <x:c r="C65" s="9" t="s">
        <x:v>23</x:v>
      </x:c>
      <x:c r="D65" s="9" t="s">
        <x:v>383</x:v>
      </x:c>
      <x:c r="E65" s="9" t="s">
        <x:v>384</x:v>
      </x:c>
      <x:c r="F65" s="9" t="s">
        <x:v>39</x:v>
      </x:c>
      <x:c r="G65" s="11">
        <x:v>30</x:v>
      </x:c>
      <x:c r="H65" s="9" t="s">
        <x:v>385</x:v>
      </x:c>
      <x:c r="I65" s="9" t="s">
        <x:v>386</x:v>
      </x:c>
      <x:c r="J65" s="9" t="s">
        <x:v>387</x:v>
      </x:c>
      <x:c r="K65" s="9" t="s">
        <x:v>388</x:v>
      </x:c>
      <x:c r="L65" s="10" t="s">
        <x:v>50</x:v>
      </x:c>
      <x:c r="M65" s="10"/>
      <x:c r="N65" s="9"/>
    </x:row>
    <x:row r="66" ht="68" customHeight="1">
      <x:c r="A66" s="10">
        <x:v>58</x:v>
      </x:c>
      <x:c r="B66" s="9" t="s">
        <x:v>368</x:v>
      </x:c>
      <x:c r="C66" s="9" t="s">
        <x:v>23</x:v>
      </x:c>
      <x:c r="D66" s="9" t="s">
        <x:v>389</x:v>
      </x:c>
      <x:c r="E66" s="9" t="s">
        <x:v>390</x:v>
      </x:c>
      <x:c r="F66" s="9" t="s">
        <x:v>39</x:v>
      </x:c>
      <x:c r="G66" s="11">
        <x:v>25</x:v>
      </x:c>
      <x:c r="H66" s="9" t="s">
        <x:v>391</x:v>
      </x:c>
      <x:c r="I66" s="9" t="s">
        <x:v>392</x:v>
      </x:c>
      <x:c r="J66" s="9" t="s">
        <x:v>393</x:v>
      </x:c>
      <x:c r="K66" s="9" t="s">
        <x:v>394</x:v>
      </x:c>
      <x:c r="L66" s="10" t="s">
        <x:v>50</x:v>
      </x:c>
      <x:c r="M66" s="10"/>
      <x:c r="N66" s="9"/>
    </x:row>
    <x:row r="67" ht="68" customHeight="1">
      <x:c r="A67" s="10">
        <x:v>59</x:v>
      </x:c>
      <x:c r="B67" s="9" t="s">
        <x:v>368</x:v>
      </x:c>
      <x:c r="C67" s="9" t="s">
        <x:v>395</x:v>
      </x:c>
      <x:c r="D67" s="9" t="s">
        <x:v>396</x:v>
      </x:c>
      <x:c r="E67" s="9" t="s">
        <x:v>397</x:v>
      </x:c>
      <x:c r="F67" s="9" t="s">
        <x:v>46</x:v>
      </x:c>
      <x:c r="G67" s="11">
        <x:v>15</x:v>
      </x:c>
      <x:c r="H67" s="9" t="s">
        <x:v>398</x:v>
      </x:c>
      <x:c r="I67" s="9" t="s">
        <x:v>399</x:v>
      </x:c>
      <x:c r="J67" s="9" t="s">
        <x:v>400</x:v>
      </x:c>
      <x:c r="K67" s="9" t="s">
        <x:v>401</x:v>
      </x:c>
      <x:c r="L67" s="10" t="s">
        <x:v>50</x:v>
      </x:c>
      <x:c r="M67" s="10"/>
      <x:c r="N67" s="9"/>
    </x:row>
  </x:sheetData>
  <x:mergeCells>
    <x:mergeCell ref="A3:N3"/>
    <x:mergeCell ref="A6:N6"/>
    <x:mergeCell ref="A7:N7"/>
  </x:mergeCells>
  <x:conditionalFormatting sqref="L9:L67">
    <x:cfRule type="containsText" dxfId="5" priority="1" operator="containsText" text="完了"/>
    <x:cfRule type="containsText" dxfId="4" priority="2" operator="containsText" text="作業中"/>
    <x:cfRule type="containsText" dxfId="3" priority="3" operator="containsText" text="再作業"/>
    <x:cfRule type="containsText" dxfId="2" priority="4" operator="containsText" text="保留"/>
  </x:conditionalFormatting>
  <x:dataValidations count="1">
    <x:dataValidation type="list" sqref="L9:L67">
      <x:formula1>"未着手,作業中,完了,保留,再作業"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10fce438e94ba1"/>
  </x:tableParts>
</x:worksheet>
</file>

<file path=xl/worksheets/sheet2.xml><?xml version="1.0" encoding="utf-8"?>
<x:worksheet xmlns:x="http://schemas.openxmlformats.org/spreadsheetml/2006/main">
  <x:sheetPr>
    <x:tabColor rgb="FF557A68"/>
  </x:sheetPr>
  <x:sheetViews>
    <x:sheetView showGridLines="0" workbookViewId="0">
      <x:pane ySplit="5" topLeftCell="A6" activePane="bottomLeft" state="frozen"/>
    </x:sheetView>
  </x:sheetViews>
  <x:sheetFormatPr baseColWidth="10" defaultColWidth="8.83203125" defaultRowHeight="14"/>
  <x:cols>
    <x:col min="1" max="1" width="6.6640625" customWidth="1"/>
    <x:col min="2" max="2" width="8.83203125" customWidth="1"/>
    <x:col min="3" max="3" width="10" customWidth="1"/>
    <x:col min="4" max="5" width="21.1640625" customWidth="1"/>
    <x:col min="6" max="6" width="28.83203125" customWidth="1"/>
    <x:col min="7" max="7" width="25.5" customWidth="1"/>
    <x:col min="8" max="8" width="8.83203125" customWidth="1"/>
    <x:col min="9" max="9" width="21.1640625" customWidth="1"/>
    <x:col min="10" max="10" width="25.5" customWidth="1"/>
  </x:cols>
  <x:sheetData>
    <x:row r="2" ht="20">
      <x:c r="A2" s="13" t="s">
        <x:v>402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 ht="34" customHeight="1">
      <x:c r="A3" s="18" t="s">
        <x:v>403</x:v>
      </x:c>
      <x:c r="B3" s="17"/>
      <x:c r="C3" s="17"/>
      <x:c r="D3" s="17"/>
      <x:c r="E3" s="17"/>
      <x:c r="F3" s="17"/>
      <x:c r="G3" s="17"/>
      <x:c r="H3" s="17"/>
      <x:c r="I3" s="17"/>
      <x:c r="J3" s="17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14" t="s">
        <x:v>404</x:v>
      </x:c>
      <x:c r="B5" s="14" t="s">
        <x:v>405</x:v>
      </x:c>
      <x:c r="C5" s="14" t="s">
        <x:v>10</x:v>
      </x:c>
      <x:c r="D5" s="14" t="s">
        <x:v>406</x:v>
      </x:c>
      <x:c r="E5" s="14" t="s">
        <x:v>407</x:v>
      </x:c>
      <x:c r="F5" s="14" t="s">
        <x:v>408</x:v>
      </x:c>
      <x:c r="G5" s="14" t="s">
        <x:v>409</x:v>
      </x:c>
      <x:c r="H5" s="14" t="s">
        <x:v>410</x:v>
      </x:c>
      <x:c r="I5" s="14" t="s">
        <x:v>411</x:v>
      </x:c>
      <x:c r="J5" s="14" t="s">
        <x:v>412</x:v>
      </x:c>
    </x:row>
    <x:row r="6" ht="48" customHeight="1">
      <x:c r="A6" s="10" t="s">
        <x:v>413</x:v>
      </x:c>
      <x:c r="B6" s="10" t="s">
        <x:v>414</x:v>
      </x:c>
      <x:c r="C6" s="10" t="s">
        <x:v>415</x:v>
      </x:c>
      <x:c r="D6" s="9" t="s">
        <x:v>416</x:v>
      </x:c>
      <x:c r="E6" s="9" t="s">
        <x:v>417</x:v>
      </x:c>
      <x:c r="F6" s="9" t="s">
        <x:v>418</x:v>
      </x:c>
      <x:c r="G6" s="9" t="s">
        <x:v>419</x:v>
      </x:c>
      <x:c r="H6" s="10" t="s">
        <x:v>420</x:v>
      </x:c>
      <x:c r="I6" s="9"/>
      <x:c r="J6" s="9"/>
    </x:row>
    <x:row r="7" ht="48" customHeight="1">
      <x:c r="A7" s="10" t="s">
        <x:v>421</x:v>
      </x:c>
      <x:c r="B7" s="10" t="s">
        <x:v>414</x:v>
      </x:c>
      <x:c r="C7" s="10" t="s">
        <x:v>415</x:v>
      </x:c>
      <x:c r="D7" s="9" t="s">
        <x:v>422</x:v>
      </x:c>
      <x:c r="E7" s="9" t="s">
        <x:v>423</x:v>
      </x:c>
      <x:c r="F7" s="9" t="s">
        <x:v>424</x:v>
      </x:c>
      <x:c r="G7" s="9" t="s">
        <x:v>425</x:v>
      </x:c>
      <x:c r="H7" s="10" t="s">
        <x:v>420</x:v>
      </x:c>
      <x:c r="I7" s="9"/>
      <x:c r="J7" s="9"/>
    </x:row>
    <x:row r="8" ht="48" customHeight="1">
      <x:c r="A8" s="10" t="s">
        <x:v>426</x:v>
      </x:c>
      <x:c r="B8" s="10" t="s">
        <x:v>427</x:v>
      </x:c>
      <x:c r="C8" s="10" t="s">
        <x:v>415</x:v>
      </x:c>
      <x:c r="D8" s="9" t="s">
        <x:v>428</x:v>
      </x:c>
      <x:c r="E8" s="9" t="s">
        <x:v>429</x:v>
      </x:c>
      <x:c r="F8" s="9" t="s">
        <x:v>430</x:v>
      </x:c>
      <x:c r="G8" s="9" t="s">
        <x:v>431</x:v>
      </x:c>
      <x:c r="H8" s="10" t="s">
        <x:v>420</x:v>
      </x:c>
      <x:c r="I8" s="9"/>
      <x:c r="J8" s="9"/>
    </x:row>
    <x:row r="9" ht="48" customHeight="1">
      <x:c r="A9" s="10" t="s">
        <x:v>432</x:v>
      </x:c>
      <x:c r="B9" s="10" t="s">
        <x:v>427</x:v>
      </x:c>
      <x:c r="C9" s="10" t="s">
        <x:v>415</x:v>
      </x:c>
      <x:c r="D9" s="9" t="s">
        <x:v>428</x:v>
      </x:c>
      <x:c r="E9" s="9" t="s">
        <x:v>433</x:v>
      </x:c>
      <x:c r="F9" s="9" t="s">
        <x:v>430</x:v>
      </x:c>
      <x:c r="G9" s="9" t="s">
        <x:v>431</x:v>
      </x:c>
      <x:c r="H9" s="10" t="s">
        <x:v>420</x:v>
      </x:c>
      <x:c r="I9" s="9"/>
      <x:c r="J9" s="9"/>
    </x:row>
    <x:row r="10" ht="48" customHeight="1">
      <x:c r="A10" s="10" t="s">
        <x:v>434</x:v>
      </x:c>
      <x:c r="B10" s="10" t="s">
        <x:v>427</x:v>
      </x:c>
      <x:c r="C10" s="10" t="s">
        <x:v>415</x:v>
      </x:c>
      <x:c r="D10" s="9" t="s">
        <x:v>428</x:v>
      </x:c>
      <x:c r="E10" s="9" t="s">
        <x:v>435</x:v>
      </x:c>
      <x:c r="F10" s="9" t="s">
        <x:v>430</x:v>
      </x:c>
      <x:c r="G10" s="9" t="s">
        <x:v>431</x:v>
      </x:c>
      <x:c r="H10" s="10" t="s">
        <x:v>420</x:v>
      </x:c>
      <x:c r="I10" s="9"/>
      <x:c r="J10" s="9"/>
    </x:row>
    <x:row r="11" ht="48" customHeight="1">
      <x:c r="A11" s="10" t="s">
        <x:v>436</x:v>
      </x:c>
      <x:c r="B11" s="10" t="s">
        <x:v>437</x:v>
      </x:c>
      <x:c r="C11" s="10" t="s">
        <x:v>415</x:v>
      </x:c>
      <x:c r="D11" s="9" t="s">
        <x:v>438</x:v>
      </x:c>
      <x:c r="E11" s="9" t="s">
        <x:v>439</x:v>
      </x:c>
      <x:c r="F11" s="9" t="s">
        <x:v>430</x:v>
      </x:c>
      <x:c r="G11" s="9" t="s">
        <x:v>431</x:v>
      </x:c>
      <x:c r="H11" s="10" t="s">
        <x:v>420</x:v>
      </x:c>
      <x:c r="I11" s="9"/>
      <x:c r="J11" s="9"/>
    </x:row>
    <x:row r="12" ht="48" customHeight="1">
      <x:c r="A12" s="10" t="s">
        <x:v>440</x:v>
      </x:c>
      <x:c r="B12" s="10" t="s">
        <x:v>437</x:v>
      </x:c>
      <x:c r="C12" s="10" t="s">
        <x:v>415</x:v>
      </x:c>
      <x:c r="D12" s="9" t="s">
        <x:v>438</x:v>
      </x:c>
      <x:c r="E12" s="9" t="s">
        <x:v>441</x:v>
      </x:c>
      <x:c r="F12" s="9" t="s">
        <x:v>430</x:v>
      </x:c>
      <x:c r="G12" s="9" t="s">
        <x:v>431</x:v>
      </x:c>
      <x:c r="H12" s="10" t="s">
        <x:v>420</x:v>
      </x:c>
      <x:c r="I12" s="9"/>
      <x:c r="J12" s="9"/>
    </x:row>
    <x:row r="13" ht="48" customHeight="1">
      <x:c r="A13" s="10" t="s">
        <x:v>442</x:v>
      </x:c>
      <x:c r="B13" s="10" t="s">
        <x:v>443</x:v>
      </x:c>
      <x:c r="C13" s="10" t="s">
        <x:v>415</x:v>
      </x:c>
      <x:c r="D13" s="9" t="s">
        <x:v>444</x:v>
      </x:c>
      <x:c r="E13" s="9" t="s">
        <x:v>437</x:v>
      </x:c>
      <x:c r="F13" s="9" t="s">
        <x:v>445</x:v>
      </x:c>
      <x:c r="G13" s="9" t="s">
        <x:v>446</x:v>
      </x:c>
      <x:c r="H13" s="10" t="s">
        <x:v>420</x:v>
      </x:c>
      <x:c r="I13" s="9"/>
      <x:c r="J13" s="9"/>
    </x:row>
    <x:row r="14" ht="48" customHeight="1">
      <x:c r="A14" s="10" t="s">
        <x:v>447</x:v>
      </x:c>
      <x:c r="B14" s="10" t="s">
        <x:v>448</x:v>
      </x:c>
      <x:c r="C14" s="10" t="s">
        <x:v>415</x:v>
      </x:c>
      <x:c r="D14" s="9" t="s">
        <x:v>449</x:v>
      </x:c>
      <x:c r="E14" s="9" t="s">
        <x:v>450</x:v>
      </x:c>
      <x:c r="F14" s="9" t="s">
        <x:v>430</x:v>
      </x:c>
      <x:c r="G14" s="9" t="s">
        <x:v>451</x:v>
      </x:c>
      <x:c r="H14" s="10" t="s">
        <x:v>420</x:v>
      </x:c>
      <x:c r="I14" s="9"/>
      <x:c r="J14" s="9"/>
    </x:row>
    <x:row r="15" ht="48" customHeight="1">
      <x:c r="A15" s="10" t="s">
        <x:v>452</x:v>
      </x:c>
      <x:c r="B15" s="10" t="s">
        <x:v>448</x:v>
      </x:c>
      <x:c r="C15" s="10" t="s">
        <x:v>415</x:v>
      </x:c>
      <x:c r="D15" s="9" t="s">
        <x:v>449</x:v>
      </x:c>
      <x:c r="E15" s="9" t="s">
        <x:v>453</x:v>
      </x:c>
      <x:c r="F15" s="9" t="s">
        <x:v>430</x:v>
      </x:c>
      <x:c r="G15" s="9" t="s">
        <x:v>451</x:v>
      </x:c>
      <x:c r="H15" s="10" t="s">
        <x:v>420</x:v>
      </x:c>
      <x:c r="I15" s="9"/>
      <x:c r="J15" s="9"/>
    </x:row>
    <x:row r="16" ht="48" customHeight="1">
      <x:c r="A16" s="10" t="s">
        <x:v>454</x:v>
      </x:c>
      <x:c r="B16" s="10" t="s">
        <x:v>455</x:v>
      </x:c>
      <x:c r="C16" s="10" t="s">
        <x:v>415</x:v>
      </x:c>
      <x:c r="D16" s="9" t="s">
        <x:v>456</x:v>
      </x:c>
      <x:c r="E16" s="9" t="s">
        <x:v>457</x:v>
      </x:c>
      <x:c r="F16" s="9" t="s">
        <x:v>430</x:v>
      </x:c>
      <x:c r="G16" s="9" t="s">
        <x:v>451</x:v>
      </x:c>
      <x:c r="H16" s="10" t="s">
        <x:v>420</x:v>
      </x:c>
      <x:c r="I16" s="9"/>
      <x:c r="J16" s="9"/>
    </x:row>
    <x:row r="17" ht="48" customHeight="1">
      <x:c r="A17" s="10" t="s">
        <x:v>458</x:v>
      </x:c>
      <x:c r="B17" s="10" t="s">
        <x:v>455</x:v>
      </x:c>
      <x:c r="C17" s="10" t="s">
        <x:v>415</x:v>
      </x:c>
      <x:c r="D17" s="9" t="s">
        <x:v>456</x:v>
      </x:c>
      <x:c r="E17" s="9" t="s">
        <x:v>459</x:v>
      </x:c>
      <x:c r="F17" s="9" t="s">
        <x:v>430</x:v>
      </x:c>
      <x:c r="G17" s="9" t="s">
        <x:v>451</x:v>
      </x:c>
      <x:c r="H17" s="10" t="s">
        <x:v>420</x:v>
      </x:c>
      <x:c r="I17" s="9"/>
      <x:c r="J17" s="9"/>
    </x:row>
    <x:row r="18" ht="48" customHeight="1">
      <x:c r="A18" s="10" t="s">
        <x:v>460</x:v>
      </x:c>
      <x:c r="B18" s="10" t="s">
        <x:v>443</x:v>
      </x:c>
      <x:c r="C18" s="10" t="s">
        <x:v>415</x:v>
      </x:c>
      <x:c r="D18" s="9" t="s">
        <x:v>448</x:v>
      </x:c>
      <x:c r="E18" s="9" t="s">
        <x:v>455</x:v>
      </x:c>
      <x:c r="F18" s="9" t="s">
        <x:v>461</x:v>
      </x:c>
      <x:c r="G18" s="9" t="s">
        <x:v>451</x:v>
      </x:c>
      <x:c r="H18" s="10" t="s">
        <x:v>420</x:v>
      </x:c>
      <x:c r="I18" s="9"/>
      <x:c r="J18" s="9"/>
    </x:row>
    <x:row r="19" ht="48" customHeight="1">
      <x:c r="A19" s="10" t="s">
        <x:v>462</x:v>
      </x:c>
      <x:c r="B19" s="10" t="s">
        <x:v>463</x:v>
      </x:c>
      <x:c r="C19" s="10" t="s">
        <x:v>415</x:v>
      </x:c>
      <x:c r="D19" s="9" t="s">
        <x:v>464</x:v>
      </x:c>
      <x:c r="E19" s="9" t="s">
        <x:v>465</x:v>
      </x:c>
      <x:c r="F19" s="9" t="s">
        <x:v>466</x:v>
      </x:c>
      <x:c r="G19" s="9" t="s">
        <x:v>451</x:v>
      </x:c>
      <x:c r="H19" s="10" t="s">
        <x:v>420</x:v>
      </x:c>
      <x:c r="I19" s="9"/>
      <x:c r="J19" s="9"/>
    </x:row>
    <x:row r="20" ht="48" customHeight="1">
      <x:c r="A20" s="10" t="s">
        <x:v>467</x:v>
      </x:c>
      <x:c r="B20" s="10" t="s">
        <x:v>468</x:v>
      </x:c>
      <x:c r="C20" s="10" t="s">
        <x:v>415</x:v>
      </x:c>
      <x:c r="D20" s="9" t="s">
        <x:v>469</x:v>
      </x:c>
      <x:c r="E20" s="9" t="s">
        <x:v>470</x:v>
      </x:c>
      <x:c r="F20" s="9" t="s">
        <x:v>466</x:v>
      </x:c>
      <x:c r="G20" s="9" t="s">
        <x:v>451</x:v>
      </x:c>
      <x:c r="H20" s="10" t="s">
        <x:v>420</x:v>
      </x:c>
      <x:c r="I20" s="9"/>
      <x:c r="J20" s="9"/>
    </x:row>
    <x:row r="21" ht="48" customHeight="1">
      <x:c r="A21" s="10" t="s">
        <x:v>471</x:v>
      </x:c>
      <x:c r="B21" s="10" t="s">
        <x:v>472</x:v>
      </x:c>
      <x:c r="C21" s="10" t="s">
        <x:v>415</x:v>
      </x:c>
      <x:c r="D21" s="9" t="s">
        <x:v>473</x:v>
      </x:c>
      <x:c r="E21" s="9" t="s">
        <x:v>465</x:v>
      </x:c>
      <x:c r="F21" s="9" t="s">
        <x:v>474</x:v>
      </x:c>
      <x:c r="G21" s="9" t="s">
        <x:v>475</x:v>
      </x:c>
      <x:c r="H21" s="10" t="s">
        <x:v>420</x:v>
      </x:c>
      <x:c r="I21" s="9"/>
      <x:c r="J21" s="9"/>
    </x:row>
    <x:row r="22" ht="48" customHeight="1">
      <x:c r="A22" s="10" t="s">
        <x:v>476</x:v>
      </x:c>
      <x:c r="B22" s="10" t="s">
        <x:v>472</x:v>
      </x:c>
      <x:c r="C22" s="10" t="s">
        <x:v>415</x:v>
      </x:c>
      <x:c r="D22" s="9" t="s">
        <x:v>473</x:v>
      </x:c>
      <x:c r="E22" s="9" t="s">
        <x:v>470</x:v>
      </x:c>
      <x:c r="F22" s="9" t="s">
        <x:v>474</x:v>
      </x:c>
      <x:c r="G22" s="9" t="s">
        <x:v>475</x:v>
      </x:c>
      <x:c r="H22" s="10" t="s">
        <x:v>420</x:v>
      </x:c>
      <x:c r="I22" s="9"/>
      <x:c r="J22" s="9"/>
    </x:row>
    <x:row r="23" ht="48" customHeight="1">
      <x:c r="A23" s="10" t="s">
        <x:v>477</x:v>
      </x:c>
      <x:c r="B23" s="10" t="s">
        <x:v>443</x:v>
      </x:c>
      <x:c r="C23" s="10" t="s">
        <x:v>415</x:v>
      </x:c>
      <x:c r="D23" s="9" t="s">
        <x:v>465</x:v>
      </x:c>
      <x:c r="E23" s="9" t="s">
        <x:v>470</x:v>
      </x:c>
      <x:c r="F23" s="9" t="s">
        <x:v>478</x:v>
      </x:c>
      <x:c r="G23" s="9" t="s">
        <x:v>479</x:v>
      </x:c>
      <x:c r="H23" s="10" t="s">
        <x:v>420</x:v>
      </x:c>
      <x:c r="I23" s="9"/>
      <x:c r="J23" s="9"/>
    </x:row>
    <x:row r="24" ht="48" customHeight="1">
      <x:c r="A24" s="10" t="s">
        <x:v>480</x:v>
      </x:c>
      <x:c r="B24" s="10" t="s">
        <x:v>427</x:v>
      </x:c>
      <x:c r="C24" s="10" t="s">
        <x:v>334</x:v>
      </x:c>
      <x:c r="D24" s="9" t="s">
        <x:v>481</x:v>
      </x:c>
      <x:c r="E24" s="9" t="s">
        <x:v>482</x:v>
      </x:c>
      <x:c r="F24" s="9" t="s">
        <x:v>430</x:v>
      </x:c>
      <x:c r="G24" s="9" t="s">
        <x:v>483</x:v>
      </x:c>
      <x:c r="H24" s="10" t="s">
        <x:v>420</x:v>
      </x:c>
      <x:c r="I24" s="9"/>
      <x:c r="J24" s="9"/>
    </x:row>
    <x:row r="25" ht="48" customHeight="1">
      <x:c r="A25" s="10" t="s">
        <x:v>484</x:v>
      </x:c>
      <x:c r="B25" s="10" t="s">
        <x:v>437</x:v>
      </x:c>
      <x:c r="C25" s="10" t="s">
        <x:v>334</x:v>
      </x:c>
      <x:c r="D25" s="9" t="s">
        <x:v>485</x:v>
      </x:c>
      <x:c r="E25" s="9" t="s">
        <x:v>486</x:v>
      </x:c>
      <x:c r="F25" s="9" t="s">
        <x:v>430</x:v>
      </x:c>
      <x:c r="G25" s="9" t="s">
        <x:v>483</x:v>
      </x:c>
      <x:c r="H25" s="10" t="s">
        <x:v>420</x:v>
      </x:c>
      <x:c r="I25" s="9"/>
      <x:c r="J25" s="9"/>
    </x:row>
    <x:row r="26" ht="48" customHeight="1">
      <x:c r="A26" s="10" t="s">
        <x:v>487</x:v>
      </x:c>
      <x:c r="B26" s="10" t="s">
        <x:v>488</x:v>
      </x:c>
      <x:c r="C26" s="10" t="s">
        <x:v>334</x:v>
      </x:c>
      <x:c r="D26" s="9" t="s">
        <x:v>489</x:v>
      </x:c>
      <x:c r="E26" s="9" t="s">
        <x:v>490</x:v>
      </x:c>
      <x:c r="F26" s="9" t="s">
        <x:v>491</x:v>
      </x:c>
      <x:c r="G26" s="9" t="s">
        <x:v>483</x:v>
      </x:c>
      <x:c r="H26" s="10" t="s">
        <x:v>420</x:v>
      </x:c>
      <x:c r="I26" s="9"/>
      <x:c r="J26" s="9"/>
    </x:row>
    <x:row r="27" ht="48" customHeight="1">
      <x:c r="A27" s="10" t="s">
        <x:v>492</x:v>
      </x:c>
      <x:c r="B27" s="10" t="s">
        <x:v>443</x:v>
      </x:c>
      <x:c r="C27" s="10" t="s">
        <x:v>334</x:v>
      </x:c>
      <x:c r="D27" s="9" t="s">
        <x:v>493</x:v>
      </x:c>
      <x:c r="E27" s="9" t="s">
        <x:v>494</x:v>
      </x:c>
      <x:c r="F27" s="9" t="s">
        <x:v>495</x:v>
      </x:c>
      <x:c r="G27" s="9" t="s">
        <x:v>483</x:v>
      </x:c>
      <x:c r="H27" s="10" t="s">
        <x:v>420</x:v>
      </x:c>
      <x:c r="I27" s="9"/>
      <x:c r="J27" s="9"/>
    </x:row>
    <x:row r="28" ht="48" customHeight="1">
      <x:c r="A28" s="10" t="s">
        <x:v>496</x:v>
      </x:c>
      <x:c r="B28" s="10" t="s">
        <x:v>427</x:v>
      </x:c>
      <x:c r="C28" s="10" t="s">
        <x:v>341</x:v>
      </x:c>
      <x:c r="D28" s="9" t="s">
        <x:v>481</x:v>
      </x:c>
      <x:c r="E28" s="9" t="s">
        <x:v>497</x:v>
      </x:c>
      <x:c r="F28" s="9" t="s">
        <x:v>430</x:v>
      </x:c>
      <x:c r="G28" s="9" t="s">
        <x:v>483</x:v>
      </x:c>
      <x:c r="H28" s="10" t="s">
        <x:v>420</x:v>
      </x:c>
      <x:c r="I28" s="9"/>
      <x:c r="J28" s="9"/>
    </x:row>
    <x:row r="29" ht="48" customHeight="1">
      <x:c r="A29" s="10" t="s">
        <x:v>498</x:v>
      </x:c>
      <x:c r="B29" s="10" t="s">
        <x:v>437</x:v>
      </x:c>
      <x:c r="C29" s="10" t="s">
        <x:v>341</x:v>
      </x:c>
      <x:c r="D29" s="9" t="s">
        <x:v>485</x:v>
      </x:c>
      <x:c r="E29" s="9" t="s">
        <x:v>499</x:v>
      </x:c>
      <x:c r="F29" s="9" t="s">
        <x:v>430</x:v>
      </x:c>
      <x:c r="G29" s="9" t="s">
        <x:v>483</x:v>
      </x:c>
      <x:c r="H29" s="10" t="s">
        <x:v>420</x:v>
      </x:c>
      <x:c r="I29" s="9"/>
      <x:c r="J29" s="9"/>
    </x:row>
    <x:row r="30" ht="48" customHeight="1">
      <x:c r="A30" s="10" t="s">
        <x:v>500</x:v>
      </x:c>
      <x:c r="B30" s="10" t="s">
        <x:v>488</x:v>
      </x:c>
      <x:c r="C30" s="10" t="s">
        <x:v>341</x:v>
      </x:c>
      <x:c r="D30" s="9" t="s">
        <x:v>489</x:v>
      </x:c>
      <x:c r="E30" s="9" t="s">
        <x:v>501</x:v>
      </x:c>
      <x:c r="F30" s="9" t="s">
        <x:v>491</x:v>
      </x:c>
      <x:c r="G30" s="9" t="s">
        <x:v>483</x:v>
      </x:c>
      <x:c r="H30" s="10" t="s">
        <x:v>420</x:v>
      </x:c>
      <x:c r="I30" s="9"/>
      <x:c r="J30" s="9"/>
    </x:row>
    <x:row r="31" ht="48" customHeight="1">
      <x:c r="A31" s="10" t="s">
        <x:v>502</x:v>
      </x:c>
      <x:c r="B31" s="10" t="s">
        <x:v>503</x:v>
      </x:c>
      <x:c r="C31" s="10" t="s">
        <x:v>504</x:v>
      </x:c>
      <x:c r="D31" s="9" t="s">
        <x:v>505</x:v>
      </x:c>
      <x:c r="E31" s="9" t="s">
        <x:v>506</x:v>
      </x:c>
      <x:c r="F31" s="9" t="s">
        <x:v>507</x:v>
      </x:c>
      <x:c r="G31" s="9" t="s">
        <x:v>508</x:v>
      </x:c>
      <x:c r="H31" s="10" t="s">
        <x:v>420</x:v>
      </x:c>
      <x:c r="I31" s="9"/>
      <x:c r="J31" s="9"/>
    </x:row>
    <x:row r="32" ht="48" customHeight="1">
      <x:c r="A32" s="10" t="s">
        <x:v>509</x:v>
      </x:c>
      <x:c r="B32" s="10" t="s">
        <x:v>376</x:v>
      </x:c>
      <x:c r="C32" s="10" t="s">
        <x:v>334</x:v>
      </x:c>
      <x:c r="D32" s="9" t="s">
        <x:v>510</x:v>
      </x:c>
      <x:c r="E32" s="9" t="s">
        <x:v>511</x:v>
      </x:c>
      <x:c r="F32" s="9" t="s">
        <x:v>512</x:v>
      </x:c>
      <x:c r="G32" s="9" t="s">
        <x:v>513</x:v>
      </x:c>
      <x:c r="H32" s="10" t="s">
        <x:v>420</x:v>
      </x:c>
      <x:c r="I32" s="9"/>
      <x:c r="J32" s="9"/>
    </x:row>
    <x:row r="33" ht="48" customHeight="1">
      <x:c r="A33" s="10" t="s">
        <x:v>514</x:v>
      </x:c>
      <x:c r="B33" s="10" t="s">
        <x:v>376</x:v>
      </x:c>
      <x:c r="C33" s="10" t="s">
        <x:v>341</x:v>
      </x:c>
      <x:c r="D33" s="9" t="s">
        <x:v>510</x:v>
      </x:c>
      <x:c r="E33" s="9" t="s">
        <x:v>515</x:v>
      </x:c>
      <x:c r="F33" s="9" t="s">
        <x:v>512</x:v>
      </x:c>
      <x:c r="G33" s="9" t="s">
        <x:v>513</x:v>
      </x:c>
      <x:c r="H33" s="10" t="s">
        <x:v>420</x:v>
      </x:c>
      <x:c r="I33" s="9"/>
      <x:c r="J33" s="9"/>
    </x:row>
    <x:row r="34" ht="48" customHeight="1">
      <x:c r="A34" s="10" t="s">
        <x:v>516</x:v>
      </x:c>
      <x:c r="B34" s="10" t="s">
        <x:v>517</x:v>
      </x:c>
      <x:c r="C34" s="10" t="s">
        <x:v>23</x:v>
      </x:c>
      <x:c r="D34" s="9" t="s">
        <x:v>444</x:v>
      </x:c>
      <x:c r="E34" s="9" t="s">
        <x:v>437</x:v>
      </x:c>
      <x:c r="F34" s="9" t="s">
        <x:v>518</x:v>
      </x:c>
      <x:c r="G34" s="9" t="s">
        <x:v>519</x:v>
      </x:c>
      <x:c r="H34" s="10" t="s">
        <x:v>420</x:v>
      </x:c>
      <x:c r="I34" s="9"/>
      <x:c r="J34" s="9"/>
    </x:row>
    <x:row r="35" ht="48" customHeight="1">
      <x:c r="A35" s="10" t="s">
        <x:v>520</x:v>
      </x:c>
      <x:c r="B35" s="10" t="s">
        <x:v>488</x:v>
      </x:c>
      <x:c r="C35" s="10" t="s">
        <x:v>23</x:v>
      </x:c>
      <x:c r="D35" s="9" t="s">
        <x:v>521</x:v>
      </x:c>
      <x:c r="E35" s="9" t="s">
        <x:v>39</x:v>
      </x:c>
      <x:c r="F35" s="9" t="s">
        <x:v>522</x:v>
      </x:c>
      <x:c r="G35" s="9" t="s">
        <x:v>523</x:v>
      </x:c>
      <x:c r="H35" s="10" t="s">
        <x:v>420</x:v>
      </x:c>
      <x:c r="I35" s="9"/>
      <x:c r="J35" s="9"/>
    </x:row>
  </x:sheetData>
  <x:mergeCells>
    <x:mergeCell ref="A3:J3"/>
  </x:mergeCells>
  <x:conditionalFormatting sqref="H6:H35">
    <x:cfRule type="containsText" dxfId="1" priority="1" operator="containsText" text="合格"/>
    <x:cfRule type="containsText" dxfId="0" priority="2" operator="containsText" text="不合格"/>
  </x:conditionalFormatting>
  <x:dataValidations count="1">
    <x:dataValidation type="list" sqref="H6:H35">
      <x:formula1>"未確認,合格,不合格,対象外"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605d6024e94dc0"/>
  </x:tableParts>
</x:worksheet>
</file>